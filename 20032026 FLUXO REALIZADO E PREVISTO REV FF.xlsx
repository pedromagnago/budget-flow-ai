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21c099153ab5b6/Área de Trabalho/Fleury/"/>
    </mc:Choice>
  </mc:AlternateContent>
  <xr:revisionPtr revIDLastSave="8" documentId="13_ncr:1_{C4187944-9673-48A0-AF22-839219D75B6D}" xr6:coauthVersionLast="47" xr6:coauthVersionMax="47" xr10:uidLastSave="{E7D91917-B9F6-4387-9365-812A69B82CF9}"/>
  <bookViews>
    <workbookView xWindow="-120" yWindow="-120" windowWidth="29040" windowHeight="15840" tabRatio="754" activeTab="5" xr2:uid="{00000000-000D-0000-FFFF-FFFF00000000}"/>
  </bookViews>
  <sheets>
    <sheet name="CATEGORIAS" sheetId="4" r:id="rId1"/>
    <sheet name="BD PREVISTO" sheetId="6" r:id="rId2"/>
    <sheet name="MEMORIA DE CÁLCULO" sheetId="30" r:id="rId3"/>
    <sheet name="BD REALIZADO" sheetId="2" r:id="rId4"/>
    <sheet name="FLUXO REALIZADO" sheetId="3" r:id="rId5"/>
    <sheet name="FLUXO PREVISTO" sheetId="28" r:id="rId6"/>
  </sheets>
  <definedNames>
    <definedName name="ACEROLA">OFFSET(#REF!,0,0,COUNTA(#REF!),1)</definedName>
    <definedName name="_xlnm.Print_Area" localSheetId="1">'BD PREVISTO'!$A$1:$T$811</definedName>
    <definedName name="CUSTOSCOMPRA">#REF!</definedName>
  </definedNames>
  <calcPr calcId="191029"/>
  <pivotCaches>
    <pivotCache cacheId="9" r:id="rId7"/>
    <pivotCache cacheId="2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4" i="6" l="1"/>
  <c r="T642" i="6"/>
  <c r="T633" i="6"/>
  <c r="T632" i="6"/>
  <c r="T631" i="6"/>
  <c r="T630" i="6"/>
  <c r="T629" i="6"/>
  <c r="T628" i="6"/>
  <c r="T627" i="6"/>
  <c r="T626" i="6"/>
  <c r="T653" i="6"/>
  <c r="T652" i="6"/>
  <c r="T651" i="6"/>
  <c r="T650" i="6"/>
  <c r="T649" i="6"/>
  <c r="T648" i="6"/>
  <c r="T647" i="6"/>
  <c r="T641" i="6"/>
  <c r="T640" i="6"/>
  <c r="T639" i="6"/>
  <c r="T638" i="6"/>
  <c r="T637" i="6"/>
  <c r="T636" i="6"/>
  <c r="T616" i="6"/>
  <c r="T615" i="6"/>
  <c r="T614" i="6"/>
  <c r="T613" i="6"/>
  <c r="T612" i="6"/>
  <c r="T608" i="6"/>
  <c r="T607" i="6"/>
  <c r="T606" i="6"/>
  <c r="T605" i="6"/>
  <c r="T609" i="6"/>
  <c r="T541" i="6"/>
  <c r="T521" i="6"/>
  <c r="T529" i="6"/>
  <c r="T527" i="6"/>
  <c r="T526" i="6"/>
  <c r="T524" i="6"/>
  <c r="T523" i="6"/>
  <c r="BY7" i="28"/>
  <c r="BQ7" i="28"/>
  <c r="BI7" i="28"/>
  <c r="BA7" i="28"/>
  <c r="AS7" i="28"/>
  <c r="AK7" i="28"/>
  <c r="AC7" i="28"/>
  <c r="U7" i="28"/>
  <c r="M7" i="28"/>
  <c r="BY6" i="28"/>
  <c r="BQ6" i="28"/>
  <c r="BI6" i="28"/>
  <c r="BA6" i="28"/>
  <c r="AS6" i="28"/>
  <c r="AK6" i="28"/>
  <c r="AC6" i="28"/>
  <c r="U6" i="28"/>
  <c r="M6" i="28"/>
  <c r="AB6" i="28"/>
  <c r="L6" i="28"/>
  <c r="AN7" i="28"/>
  <c r="AV6" i="28"/>
  <c r="H6" i="28"/>
  <c r="BX7" i="28"/>
  <c r="BP7" i="28"/>
  <c r="BH7" i="28"/>
  <c r="AZ7" i="28"/>
  <c r="AR7" i="28"/>
  <c r="AJ7" i="28"/>
  <c r="AB7" i="28"/>
  <c r="T7" i="28"/>
  <c r="L7" i="28"/>
  <c r="BX6" i="28"/>
  <c r="BP6" i="28"/>
  <c r="BH6" i="28"/>
  <c r="AZ6" i="28"/>
  <c r="AR6" i="28"/>
  <c r="AJ6" i="28"/>
  <c r="T6" i="28"/>
  <c r="BT7" i="28"/>
  <c r="AF7" i="28"/>
  <c r="BL6" i="28"/>
  <c r="X6" i="28"/>
  <c r="BW7" i="28"/>
  <c r="BO7" i="28"/>
  <c r="BG7" i="28"/>
  <c r="AY7" i="28"/>
  <c r="AQ7" i="28"/>
  <c r="AI7" i="28"/>
  <c r="AA7" i="28"/>
  <c r="S7" i="28"/>
  <c r="K7" i="28"/>
  <c r="BW6" i="28"/>
  <c r="BO6" i="28"/>
  <c r="BG6" i="28"/>
  <c r="AY6" i="28"/>
  <c r="AQ6" i="28"/>
  <c r="AI6" i="28"/>
  <c r="AA6" i="28"/>
  <c r="S6" i="28"/>
  <c r="K6" i="28"/>
  <c r="I6" i="28"/>
  <c r="BD7" i="28"/>
  <c r="X7" i="28"/>
  <c r="H7" i="28"/>
  <c r="AN6" i="28"/>
  <c r="BV7" i="28"/>
  <c r="BN7" i="28"/>
  <c r="BF7" i="28"/>
  <c r="AX7" i="28"/>
  <c r="AP7" i="28"/>
  <c r="AH7" i="28"/>
  <c r="Z7" i="28"/>
  <c r="R7" i="28"/>
  <c r="J7" i="28"/>
  <c r="BV6" i="28"/>
  <c r="BN6" i="28"/>
  <c r="BF6" i="28"/>
  <c r="AX6" i="28"/>
  <c r="AP6" i="28"/>
  <c r="AH6" i="28"/>
  <c r="Z6" i="28"/>
  <c r="R6" i="28"/>
  <c r="J6" i="28"/>
  <c r="AV7" i="28"/>
  <c r="BT6" i="28"/>
  <c r="P6" i="28"/>
  <c r="BU7" i="28"/>
  <c r="BM7" i="28"/>
  <c r="BE7" i="28"/>
  <c r="AW7" i="28"/>
  <c r="AO7" i="28"/>
  <c r="AG7" i="28"/>
  <c r="Y7" i="28"/>
  <c r="Q7" i="28"/>
  <c r="I7" i="28"/>
  <c r="BU6" i="28"/>
  <c r="BM6" i="28"/>
  <c r="BE6" i="28"/>
  <c r="AW6" i="28"/>
  <c r="AO6" i="28"/>
  <c r="AG6" i="28"/>
  <c r="Y6" i="28"/>
  <c r="Q6" i="28"/>
  <c r="BL7" i="28"/>
  <c r="P7" i="28"/>
  <c r="BD6" i="28"/>
  <c r="AF6" i="28"/>
  <c r="BS7" i="28"/>
  <c r="BK7" i="28"/>
  <c r="BC7" i="28"/>
  <c r="AU7" i="28"/>
  <c r="AM7" i="28"/>
  <c r="AE7" i="28"/>
  <c r="W7" i="28"/>
  <c r="O7" i="28"/>
  <c r="G7" i="28"/>
  <c r="BS6" i="28"/>
  <c r="BK6" i="28"/>
  <c r="BC6" i="28"/>
  <c r="AU6" i="28"/>
  <c r="AM6" i="28"/>
  <c r="AE6" i="28"/>
  <c r="W6" i="28"/>
  <c r="O6" i="28"/>
  <c r="G6" i="28"/>
  <c r="BR7" i="28"/>
  <c r="BJ7" i="28"/>
  <c r="AT7" i="28"/>
  <c r="AL7" i="28"/>
  <c r="AD7" i="28"/>
  <c r="V7" i="28"/>
  <c r="F7" i="28"/>
  <c r="BR6" i="28"/>
  <c r="BB6" i="28"/>
  <c r="AL6" i="28"/>
  <c r="V6" i="28"/>
  <c r="F6" i="28"/>
  <c r="BB7" i="28"/>
  <c r="N7" i="28"/>
  <c r="BJ6" i="28"/>
  <c r="AT6" i="28"/>
  <c r="AD6" i="28"/>
  <c r="N6" i="28"/>
  <c r="E6" i="28"/>
  <c r="T338" i="6" l="1"/>
  <c r="T337" i="6"/>
  <c r="T336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208" i="6"/>
  <c r="T209" i="6"/>
  <c r="T214" i="6"/>
  <c r="T216" i="6"/>
  <c r="T212" i="6"/>
  <c r="T213" i="6"/>
  <c r="T220" i="6"/>
  <c r="L1" i="6" l="1"/>
  <c r="T513" i="6"/>
  <c r="T512" i="6"/>
  <c r="T511" i="6"/>
  <c r="T501" i="6"/>
  <c r="T510" i="6"/>
  <c r="T500" i="6"/>
  <c r="T509" i="6"/>
  <c r="T499" i="6"/>
  <c r="T502" i="6"/>
  <c r="E60" i="30"/>
  <c r="E59" i="30"/>
  <c r="E58" i="30"/>
  <c r="E57" i="30"/>
  <c r="E56" i="30"/>
  <c r="C56" i="30"/>
  <c r="G56" i="30" s="1"/>
  <c r="E55" i="30"/>
  <c r="E54" i="30"/>
  <c r="E53" i="30"/>
  <c r="E52" i="30"/>
  <c r="E51" i="30"/>
  <c r="E50" i="30"/>
  <c r="E49" i="30"/>
  <c r="E48" i="30"/>
  <c r="C48" i="30"/>
  <c r="G48" i="30" s="1"/>
  <c r="E47" i="30"/>
  <c r="E46" i="30"/>
  <c r="E45" i="30"/>
  <c r="E44" i="30"/>
  <c r="E43" i="30"/>
  <c r="E42" i="30"/>
  <c r="E41" i="30"/>
  <c r="E40" i="30"/>
  <c r="C40" i="30"/>
  <c r="B38" i="30"/>
  <c r="B35" i="30"/>
  <c r="B32" i="30"/>
  <c r="C32" i="30" s="1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B12" i="30"/>
  <c r="B15" i="30" s="1"/>
  <c r="E11" i="30"/>
  <c r="E10" i="30"/>
  <c r="B10" i="30"/>
  <c r="B11" i="30" s="1"/>
  <c r="E9" i="30"/>
  <c r="E5" i="30"/>
  <c r="F5" i="30" s="1"/>
  <c r="C5" i="30"/>
  <c r="E3" i="30"/>
  <c r="F2" i="30"/>
  <c r="F3" i="30" s="1"/>
  <c r="G1" i="30"/>
  <c r="C29" i="30" l="1"/>
  <c r="G29" i="30" s="1"/>
  <c r="C28" i="30"/>
  <c r="G28" i="30" s="1"/>
  <c r="C27" i="30"/>
  <c r="G27" i="30" s="1"/>
  <c r="C26" i="30"/>
  <c r="G26" i="30" s="1"/>
  <c r="C25" i="30"/>
  <c r="G25" i="30" s="1"/>
  <c r="C24" i="30"/>
  <c r="G24" i="30" s="1"/>
  <c r="C23" i="30"/>
  <c r="G23" i="30" s="1"/>
  <c r="C22" i="30"/>
  <c r="G22" i="30" s="1"/>
  <c r="C21" i="30"/>
  <c r="G21" i="30" s="1"/>
  <c r="C20" i="30"/>
  <c r="G20" i="30" s="1"/>
  <c r="C19" i="30"/>
  <c r="G19" i="30" s="1"/>
  <c r="C18" i="30"/>
  <c r="G18" i="30" s="1"/>
  <c r="C17" i="30"/>
  <c r="G17" i="30" s="1"/>
  <c r="C16" i="30"/>
  <c r="G16" i="30" s="1"/>
  <c r="C15" i="30"/>
  <c r="G15" i="30" s="1"/>
  <c r="C14" i="30"/>
  <c r="G14" i="30" s="1"/>
  <c r="C13" i="30"/>
  <c r="G13" i="30" s="1"/>
  <c r="C12" i="30"/>
  <c r="G12" i="30" s="1"/>
  <c r="C11" i="30"/>
  <c r="G11" i="30" s="1"/>
  <c r="C10" i="30"/>
  <c r="G10" i="30" s="1"/>
  <c r="C9" i="30"/>
  <c r="G40" i="30"/>
  <c r="B18" i="30"/>
  <c r="B16" i="30"/>
  <c r="B17" i="30" s="1"/>
  <c r="C57" i="30"/>
  <c r="G57" i="30" s="1"/>
  <c r="C53" i="30"/>
  <c r="G53" i="30" s="1"/>
  <c r="C49" i="30"/>
  <c r="G49" i="30" s="1"/>
  <c r="C45" i="30"/>
  <c r="G45" i="30" s="1"/>
  <c r="C41" i="30"/>
  <c r="G41" i="30" s="1"/>
  <c r="C58" i="30"/>
  <c r="G58" i="30" s="1"/>
  <c r="C54" i="30"/>
  <c r="G54" i="30" s="1"/>
  <c r="C50" i="30"/>
  <c r="G50" i="30" s="1"/>
  <c r="C46" i="30"/>
  <c r="G46" i="30" s="1"/>
  <c r="C42" i="30"/>
  <c r="G42" i="30" s="1"/>
  <c r="C59" i="30"/>
  <c r="G59" i="30" s="1"/>
  <c r="C55" i="30"/>
  <c r="G55" i="30" s="1"/>
  <c r="C51" i="30"/>
  <c r="G51" i="30" s="1"/>
  <c r="C47" i="30"/>
  <c r="G47" i="30" s="1"/>
  <c r="C43" i="30"/>
  <c r="G43" i="30" s="1"/>
  <c r="C44" i="30"/>
  <c r="G44" i="30" s="1"/>
  <c r="C52" i="30"/>
  <c r="G52" i="30" s="1"/>
  <c r="C60" i="30"/>
  <c r="G60" i="30" s="1"/>
  <c r="B13" i="30"/>
  <c r="B14" i="30" s="1"/>
  <c r="C61" i="30" l="1"/>
  <c r="B21" i="30"/>
  <c r="B19" i="30"/>
  <c r="B20" i="30" s="1"/>
  <c r="C30" i="30"/>
  <c r="G30" i="30" s="1"/>
  <c r="G9" i="30"/>
  <c r="B24" i="30" l="1"/>
  <c r="B22" i="30"/>
  <c r="B23" i="30" s="1"/>
  <c r="B27" i="30" l="1"/>
  <c r="B28" i="30" s="1"/>
  <c r="B29" i="30" s="1"/>
  <c r="B25" i="30"/>
  <c r="B26" i="30" s="1"/>
  <c r="T76" i="2" l="1"/>
  <c r="T77" i="2"/>
  <c r="Q6" i="3"/>
  <c r="Q7" i="3"/>
  <c r="T492" i="6" l="1"/>
  <c r="T504" i="6"/>
  <c r="T497" i="6"/>
  <c r="T505" i="6"/>
  <c r="T498" i="6"/>
  <c r="T506" i="6"/>
  <c r="T507" i="6"/>
  <c r="T508" i="6"/>
  <c r="T537" i="6"/>
  <c r="T533" i="6"/>
  <c r="T360" i="6"/>
  <c r="T359" i="6"/>
  <c r="T358" i="6"/>
  <c r="D7" i="28"/>
  <c r="T65" i="2" l="1"/>
  <c r="T66" i="2"/>
  <c r="T67" i="2"/>
  <c r="T68" i="2"/>
  <c r="T69" i="2"/>
  <c r="T70" i="2"/>
  <c r="T71" i="2"/>
  <c r="T72" i="2"/>
  <c r="T73" i="2"/>
  <c r="T74" i="2"/>
  <c r="T75" i="2"/>
  <c r="T494" i="6"/>
  <c r="T433" i="6"/>
  <c r="P6" i="3"/>
  <c r="P7" i="3"/>
  <c r="D136" i="4" l="1"/>
  <c r="D137" i="4" s="1"/>
  <c r="D138" i="4" s="1"/>
  <c r="E7" i="28"/>
  <c r="D6" i="28"/>
  <c r="L6" i="3"/>
  <c r="O6" i="3"/>
  <c r="O7" i="3"/>
  <c r="M6" i="3"/>
  <c r="M7" i="3"/>
  <c r="L7" i="3"/>
  <c r="N6" i="3"/>
  <c r="I7" i="3"/>
  <c r="K7" i="3"/>
  <c r="J6" i="3"/>
  <c r="I6" i="3"/>
  <c r="K6" i="3"/>
  <c r="N7" i="3"/>
  <c r="J7" i="3"/>
  <c r="B6" i="28" l="1"/>
  <c r="B7" i="28"/>
  <c r="B5" i="3"/>
  <c r="D3" i="4"/>
  <c r="D4" i="4" s="1"/>
  <c r="D5" i="4" s="1"/>
  <c r="D8" i="4"/>
  <c r="D9" i="4" s="1"/>
  <c r="D10" i="4" s="1"/>
  <c r="D11" i="4" s="1"/>
  <c r="D12" i="4"/>
  <c r="D13" i="4" s="1"/>
  <c r="D14" i="4" s="1"/>
  <c r="D15" i="4" s="1"/>
  <c r="D16" i="4" s="1"/>
  <c r="D17" i="4" s="1"/>
  <c r="D18" i="4" s="1"/>
  <c r="D19" i="4"/>
  <c r="D20" i="4" s="1"/>
  <c r="D21" i="4" s="1"/>
  <c r="D22" i="4" s="1"/>
  <c r="D28" i="4"/>
  <c r="D29" i="4"/>
  <c r="D30" i="4"/>
  <c r="D31" i="4" s="1"/>
  <c r="D32" i="4" s="1"/>
  <c r="D33" i="4" s="1"/>
  <c r="D34" i="4" s="1"/>
  <c r="D56" i="4"/>
  <c r="D57" i="4" s="1"/>
  <c r="D58" i="4" s="1"/>
  <c r="D59" i="4" s="1"/>
  <c r="D60" i="4" s="1"/>
  <c r="D61" i="4" s="1"/>
  <c r="D62" i="4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/>
  <c r="D79" i="4" s="1"/>
  <c r="D99" i="4"/>
  <c r="D100" i="4" s="1"/>
  <c r="D101" i="4" s="1"/>
  <c r="D102" i="4" s="1"/>
  <c r="T28" i="2" s="1"/>
  <c r="D105" i="4"/>
  <c r="D106" i="4"/>
  <c r="D107" i="4" s="1"/>
  <c r="D108" i="4" s="1"/>
  <c r="D109" i="4" s="1"/>
  <c r="D110" i="4" s="1"/>
  <c r="D111" i="4" s="1"/>
  <c r="D112" i="4" s="1"/>
  <c r="D113" i="4" s="1"/>
  <c r="D114" i="4" s="1"/>
  <c r="D115" i="4" s="1"/>
  <c r="D116" i="4"/>
  <c r="D117" i="4" s="1"/>
  <c r="D124" i="4"/>
  <c r="D125" i="4" s="1"/>
  <c r="D126" i="4" s="1"/>
  <c r="D130" i="4"/>
  <c r="D131" i="4" s="1"/>
  <c r="D132" i="4" s="1"/>
  <c r="D133" i="4" s="1"/>
  <c r="D134" i="4"/>
  <c r="F7" i="3"/>
  <c r="F6" i="3"/>
  <c r="G7" i="3"/>
  <c r="H6" i="3"/>
  <c r="H7" i="3"/>
  <c r="D6" i="3"/>
  <c r="D7" i="3"/>
  <c r="E6" i="3"/>
  <c r="E7" i="3"/>
  <c r="G6" i="3"/>
  <c r="T296" i="6" l="1"/>
  <c r="D135" i="4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T329" i="6" s="1"/>
  <c r="T47" i="2"/>
  <c r="T35" i="2"/>
  <c r="T30" i="2"/>
  <c r="T27" i="2"/>
  <c r="T41" i="2"/>
  <c r="T46" i="2"/>
  <c r="D8" i="3"/>
  <c r="E5" i="3" s="1"/>
  <c r="E8" i="3" s="1"/>
  <c r="F5" i="3" s="1"/>
  <c r="F8" i="3" s="1"/>
  <c r="G5" i="3" s="1"/>
  <c r="G8" i="3" s="1"/>
  <c r="H5" i="3" s="1"/>
  <c r="H8" i="3" s="1"/>
  <c r="I5" i="3" s="1"/>
  <c r="I8" i="3" s="1"/>
  <c r="J5" i="3" s="1"/>
  <c r="J8" i="3" s="1"/>
  <c r="K5" i="3" s="1"/>
  <c r="K8" i="3" s="1"/>
  <c r="L5" i="3" s="1"/>
  <c r="L8" i="3" s="1"/>
  <c r="M5" i="3" s="1"/>
  <c r="M8" i="3" s="1"/>
  <c r="N5" i="3" s="1"/>
  <c r="N8" i="3" s="1"/>
  <c r="O5" i="3" s="1"/>
  <c r="O8" i="3" s="1"/>
  <c r="P5" i="3" s="1"/>
  <c r="P8" i="3" s="1"/>
  <c r="Q5" i="3" s="1"/>
  <c r="Q8" i="3" s="1"/>
  <c r="D23" i="4"/>
  <c r="D24" i="4" s="1"/>
  <c r="D25" i="4" s="1"/>
  <c r="D26" i="4" s="1"/>
  <c r="D27" i="4" s="1"/>
  <c r="T3" i="2"/>
  <c r="T4" i="2"/>
  <c r="D103" i="4"/>
  <c r="T588" i="6"/>
  <c r="T13" i="2"/>
  <c r="T252" i="6"/>
  <c r="D6" i="4"/>
  <c r="D7" i="4" s="1"/>
  <c r="D118" i="4"/>
  <c r="D119" i="4" s="1"/>
  <c r="D120" i="4" s="1"/>
  <c r="D121" i="4" s="1"/>
  <c r="D122" i="4" s="1"/>
  <c r="D123" i="4" s="1"/>
  <c r="D94" i="4"/>
  <c r="T23" i="2" s="1"/>
  <c r="T618" i="6"/>
  <c r="T379" i="6"/>
  <c r="T8" i="2"/>
  <c r="T440" i="6"/>
  <c r="T262" i="6"/>
  <c r="T258" i="6"/>
  <c r="T111" i="6"/>
  <c r="T376" i="6"/>
  <c r="T484" i="6"/>
  <c r="T5" i="6"/>
  <c r="T261" i="6"/>
  <c r="T396" i="6"/>
  <c r="D129" i="4"/>
  <c r="D127" i="4"/>
  <c r="D128" i="4" s="1"/>
  <c r="T22" i="2" s="1"/>
  <c r="T260" i="6"/>
  <c r="T30" i="6"/>
  <c r="T222" i="6"/>
  <c r="T229" i="6"/>
  <c r="D35" i="4"/>
  <c r="T345" i="6" s="1"/>
  <c r="T125" i="6"/>
  <c r="T335" i="6"/>
  <c r="T600" i="6"/>
  <c r="T340" i="6"/>
  <c r="T493" i="6"/>
  <c r="T349" i="6"/>
  <c r="T352" i="6"/>
  <c r="T17" i="6"/>
  <c r="T362" i="6"/>
  <c r="T399" i="6"/>
  <c r="T318" i="6"/>
  <c r="T540" i="6"/>
  <c r="T543" i="6"/>
  <c r="T587" i="6"/>
  <c r="T364" i="6"/>
  <c r="T75" i="6"/>
  <c r="T136" i="6"/>
  <c r="T452" i="6"/>
  <c r="T291" i="6"/>
  <c r="T87" i="6"/>
  <c r="T117" i="6"/>
  <c r="T9" i="6"/>
  <c r="T137" i="6"/>
  <c r="T572" i="6"/>
  <c r="T88" i="6"/>
  <c r="T391" i="6"/>
  <c r="T619" i="6"/>
  <c r="T5" i="2"/>
  <c r="T387" i="6"/>
  <c r="T215" i="6"/>
  <c r="T18" i="6"/>
  <c r="B7" i="3"/>
  <c r="B6" i="3"/>
  <c r="T31" i="2" l="1"/>
  <c r="T29" i="2"/>
  <c r="T34" i="2"/>
  <c r="T582" i="6"/>
  <c r="T19" i="2"/>
  <c r="T38" i="2"/>
  <c r="T411" i="6"/>
  <c r="T234" i="6"/>
  <c r="T20" i="2"/>
  <c r="T475" i="6"/>
  <c r="T643" i="6"/>
  <c r="T601" i="6"/>
  <c r="T9" i="2"/>
  <c r="T72" i="6"/>
  <c r="T424" i="6"/>
  <c r="T284" i="6"/>
  <c r="T250" i="6"/>
  <c r="T61" i="6"/>
  <c r="T127" i="6"/>
  <c r="T530" i="6"/>
  <c r="T591" i="6"/>
  <c r="T40" i="2"/>
  <c r="T56" i="2"/>
  <c r="T33" i="2"/>
  <c r="T299" i="6"/>
  <c r="T301" i="6"/>
  <c r="T439" i="6"/>
  <c r="T69" i="6"/>
  <c r="T264" i="6"/>
  <c r="D104" i="4"/>
  <c r="T24" i="2"/>
  <c r="T57" i="2"/>
  <c r="T50" i="2"/>
  <c r="T58" i="2"/>
  <c r="T25" i="2"/>
  <c r="T26" i="2"/>
  <c r="T39" i="2"/>
  <c r="T51" i="2"/>
  <c r="T55" i="2"/>
  <c r="T63" i="2"/>
  <c r="T32" i="2"/>
  <c r="T36" i="2"/>
  <c r="T44" i="2"/>
  <c r="T60" i="2"/>
  <c r="T37" i="2"/>
  <c r="T45" i="2"/>
  <c r="T61" i="2"/>
  <c r="T42" i="2"/>
  <c r="B8" i="3"/>
  <c r="D5" i="28" s="1"/>
  <c r="D36" i="4"/>
  <c r="T343" i="6"/>
  <c r="T458" i="6"/>
  <c r="T617" i="6"/>
  <c r="T106" i="6"/>
  <c r="T381" i="6"/>
  <c r="T401" i="6"/>
  <c r="T323" i="6"/>
  <c r="T43" i="6"/>
  <c r="T483" i="6"/>
  <c r="T495" i="6"/>
  <c r="T211" i="6"/>
  <c r="T361" i="6"/>
  <c r="T241" i="6"/>
  <c r="T473" i="6"/>
  <c r="T254" i="6"/>
  <c r="T295" i="6"/>
  <c r="T266" i="6"/>
  <c r="T668" i="6"/>
  <c r="T230" i="6"/>
  <c r="T408" i="6"/>
  <c r="D95" i="4"/>
  <c r="T17" i="2"/>
  <c r="T10" i="2"/>
  <c r="T14" i="2"/>
  <c r="T15" i="2"/>
  <c r="T16" i="2"/>
  <c r="B5" i="28" l="1"/>
  <c r="B8" i="28" s="1"/>
  <c r="D8" i="28"/>
  <c r="E5" i="28" s="1"/>
  <c r="E8" i="28" s="1"/>
  <c r="F5" i="28" s="1"/>
  <c r="F8" i="28" s="1"/>
  <c r="G5" i="28" s="1"/>
  <c r="G8" i="28" s="1"/>
  <c r="H5" i="28" s="1"/>
  <c r="H8" i="28" s="1"/>
  <c r="I5" i="28" s="1"/>
  <c r="I8" i="28" s="1"/>
  <c r="J5" i="28" s="1"/>
  <c r="J8" i="28" s="1"/>
  <c r="K5" i="28" s="1"/>
  <c r="K8" i="28" s="1"/>
  <c r="L5" i="28" s="1"/>
  <c r="L8" i="28" s="1"/>
  <c r="M5" i="28" s="1"/>
  <c r="M8" i="28" s="1"/>
  <c r="N5" i="28" s="1"/>
  <c r="N8" i="28" s="1"/>
  <c r="O5" i="28" s="1"/>
  <c r="O8" i="28" s="1"/>
  <c r="P5" i="28" s="1"/>
  <c r="P8" i="28" s="1"/>
  <c r="Q5" i="28" s="1"/>
  <c r="Q8" i="28" s="1"/>
  <c r="R5" i="28" s="1"/>
  <c r="R8" i="28" s="1"/>
  <c r="S5" i="28" s="1"/>
  <c r="S8" i="28" s="1"/>
  <c r="T5" i="28" s="1"/>
  <c r="T8" i="28" s="1"/>
  <c r="U5" i="28" s="1"/>
  <c r="U8" i="28" s="1"/>
  <c r="V5" i="28" s="1"/>
  <c r="V8" i="28" s="1"/>
  <c r="W5" i="28" s="1"/>
  <c r="W8" i="28" s="1"/>
  <c r="X5" i="28" s="1"/>
  <c r="X8" i="28" s="1"/>
  <c r="Y5" i="28" s="1"/>
  <c r="Y8" i="28" s="1"/>
  <c r="Z5" i="28" s="1"/>
  <c r="Z8" i="28" s="1"/>
  <c r="AA5" i="28" s="1"/>
  <c r="AA8" i="28" s="1"/>
  <c r="AB5" i="28" s="1"/>
  <c r="AB8" i="28" s="1"/>
  <c r="AC5" i="28" s="1"/>
  <c r="AC8" i="28" s="1"/>
  <c r="AD5" i="28" s="1"/>
  <c r="AD8" i="28" s="1"/>
  <c r="AE5" i="28" s="1"/>
  <c r="AE8" i="28" s="1"/>
  <c r="AF5" i="28" s="1"/>
  <c r="AF8" i="28" s="1"/>
  <c r="AG5" i="28" s="1"/>
  <c r="AG8" i="28" s="1"/>
  <c r="AH5" i="28" s="1"/>
  <c r="AH8" i="28" s="1"/>
  <c r="AI5" i="28" s="1"/>
  <c r="AI8" i="28" s="1"/>
  <c r="AJ5" i="28" s="1"/>
  <c r="AJ8" i="28" s="1"/>
  <c r="AK5" i="28" s="1"/>
  <c r="AK8" i="28" s="1"/>
  <c r="AL5" i="28" s="1"/>
  <c r="AL8" i="28" s="1"/>
  <c r="AM5" i="28" s="1"/>
  <c r="AM8" i="28" s="1"/>
  <c r="AN5" i="28" s="1"/>
  <c r="AN8" i="28" s="1"/>
  <c r="AO5" i="28" s="1"/>
  <c r="AO8" i="28" s="1"/>
  <c r="AP5" i="28" s="1"/>
  <c r="AP8" i="28" s="1"/>
  <c r="AQ5" i="28" s="1"/>
  <c r="AQ8" i="28" s="1"/>
  <c r="AR5" i="28" s="1"/>
  <c r="AR8" i="28" s="1"/>
  <c r="AS5" i="28" s="1"/>
  <c r="AS8" i="28" s="1"/>
  <c r="AT5" i="28" s="1"/>
  <c r="AT8" i="28" s="1"/>
  <c r="AU5" i="28" s="1"/>
  <c r="AU8" i="28" s="1"/>
  <c r="AV5" i="28" s="1"/>
  <c r="AV8" i="28" s="1"/>
  <c r="AW5" i="28" s="1"/>
  <c r="AW8" i="28" s="1"/>
  <c r="AX5" i="28" s="1"/>
  <c r="AX8" i="28" s="1"/>
  <c r="AY5" i="28" s="1"/>
  <c r="AY8" i="28" s="1"/>
  <c r="AZ5" i="28" s="1"/>
  <c r="AZ8" i="28" s="1"/>
  <c r="BA5" i="28" s="1"/>
  <c r="BA8" i="28" s="1"/>
  <c r="BB5" i="28" s="1"/>
  <c r="BB8" i="28" s="1"/>
  <c r="BC5" i="28" s="1"/>
  <c r="BC8" i="28" s="1"/>
  <c r="BD5" i="28" s="1"/>
  <c r="BD8" i="28" s="1"/>
  <c r="BE5" i="28" s="1"/>
  <c r="BE8" i="28" s="1"/>
  <c r="BF5" i="28" s="1"/>
  <c r="BF8" i="28" s="1"/>
  <c r="BG5" i="28" s="1"/>
  <c r="BG8" i="28" s="1"/>
  <c r="BH5" i="28" s="1"/>
  <c r="BH8" i="28" s="1"/>
  <c r="BI5" i="28" s="1"/>
  <c r="BI8" i="28" s="1"/>
  <c r="BJ5" i="28" s="1"/>
  <c r="BJ8" i="28" s="1"/>
  <c r="BK5" i="28" s="1"/>
  <c r="BK8" i="28" s="1"/>
  <c r="BL5" i="28" s="1"/>
  <c r="BL8" i="28" s="1"/>
  <c r="BM5" i="28" s="1"/>
  <c r="BM8" i="28" s="1"/>
  <c r="BN5" i="28" s="1"/>
  <c r="BN8" i="28" s="1"/>
  <c r="BO5" i="28" s="1"/>
  <c r="BO8" i="28" s="1"/>
  <c r="BP5" i="28" s="1"/>
  <c r="BP8" i="28" s="1"/>
  <c r="BQ5" i="28" s="1"/>
  <c r="BQ8" i="28" s="1"/>
  <c r="BR5" i="28" s="1"/>
  <c r="BR8" i="28" s="1"/>
  <c r="BS5" i="28" s="1"/>
  <c r="BS8" i="28" s="1"/>
  <c r="BT5" i="28" s="1"/>
  <c r="BT8" i="28" s="1"/>
  <c r="BU5" i="28" s="1"/>
  <c r="BU8" i="28" s="1"/>
  <c r="BV5" i="28" s="1"/>
  <c r="BV8" i="28" s="1"/>
  <c r="BW5" i="28" s="1"/>
  <c r="BW8" i="28" s="1"/>
  <c r="BX5" i="28" s="1"/>
  <c r="BX8" i="28" s="1"/>
  <c r="BY5" i="28" s="1"/>
  <c r="BY8" i="28" s="1"/>
  <c r="T21" i="2"/>
  <c r="T43" i="2"/>
  <c r="T112" i="6"/>
  <c r="T82" i="6"/>
  <c r="T13" i="6"/>
  <c r="D96" i="4"/>
  <c r="T7" i="2" s="1"/>
  <c r="T18" i="2"/>
  <c r="T11" i="2"/>
  <c r="D37" i="4"/>
  <c r="T390" i="6"/>
  <c r="T667" i="6"/>
  <c r="T263" i="6"/>
  <c r="T225" i="6"/>
  <c r="T70" i="6"/>
  <c r="T249" i="6" l="1"/>
  <c r="T645" i="6"/>
  <c r="T538" i="6"/>
  <c r="D38" i="4"/>
  <c r="T585" i="6"/>
  <c r="T351" i="6"/>
  <c r="T584" i="6"/>
  <c r="T595" i="6"/>
  <c r="D97" i="4"/>
  <c r="T6" i="2"/>
  <c r="T661" i="6" l="1"/>
  <c r="T116" i="6"/>
  <c r="T48" i="6"/>
  <c r="T132" i="6"/>
  <c r="T11" i="6"/>
  <c r="T217" i="6"/>
  <c r="T455" i="6"/>
  <c r="T575" i="6"/>
  <c r="T346" i="6"/>
  <c r="T81" i="6"/>
  <c r="T115" i="6"/>
  <c r="T142" i="6"/>
  <c r="T435" i="6"/>
  <c r="T91" i="6"/>
  <c r="T223" i="6"/>
  <c r="T366" i="6"/>
  <c r="T421" i="6"/>
  <c r="T326" i="6"/>
  <c r="T56" i="6"/>
  <c r="T621" i="6"/>
  <c r="T624" i="6"/>
  <c r="T446" i="6"/>
  <c r="T563" i="6"/>
  <c r="T38" i="6"/>
  <c r="T520" i="6"/>
  <c r="T355" i="6"/>
  <c r="T375" i="6"/>
  <c r="T242" i="6"/>
  <c r="T568" i="6"/>
  <c r="T238" i="6"/>
  <c r="T430" i="6"/>
  <c r="T49" i="2"/>
  <c r="T48" i="2"/>
  <c r="T52" i="2"/>
  <c r="T54" i="2"/>
  <c r="T312" i="6"/>
  <c r="T664" i="6"/>
  <c r="T369" i="6"/>
  <c r="T659" i="6"/>
  <c r="T131" i="6"/>
  <c r="T14" i="6"/>
  <c r="T255" i="6"/>
  <c r="T487" i="6"/>
  <c r="T363" i="6"/>
  <c r="T78" i="6"/>
  <c r="T596" i="6"/>
  <c r="T12" i="2"/>
  <c r="T561" i="6"/>
  <c r="T392" i="6"/>
  <c r="D98" i="4"/>
  <c r="T556" i="6"/>
  <c r="T314" i="6"/>
  <c r="T25" i="6"/>
  <c r="T328" i="6"/>
  <c r="T138" i="6"/>
  <c r="T574" i="6"/>
  <c r="T224" i="6"/>
  <c r="T622" i="6"/>
  <c r="T416" i="6"/>
  <c r="T29" i="6"/>
  <c r="T290" i="6"/>
  <c r="T407" i="6"/>
  <c r="T370" i="6"/>
  <c r="D39" i="4"/>
  <c r="T41" i="6"/>
  <c r="T334" i="6"/>
  <c r="T59" i="6"/>
  <c r="T86" i="6"/>
  <c r="T134" i="6"/>
  <c r="T450" i="6"/>
  <c r="T219" i="6"/>
  <c r="T610" i="6"/>
  <c r="T313" i="6"/>
  <c r="T36" i="6"/>
  <c r="T107" i="6"/>
  <c r="T481" i="6"/>
  <c r="T555" i="6"/>
  <c r="T528" i="6"/>
  <c r="T599" i="6"/>
  <c r="T460" i="6"/>
  <c r="T560" i="6"/>
  <c r="T579" i="6"/>
  <c r="T590" i="6"/>
  <c r="T415" i="6"/>
  <c r="T442" i="6"/>
  <c r="T236" i="6"/>
  <c r="T592" i="6"/>
  <c r="T468" i="6"/>
  <c r="T353" i="6" l="1"/>
  <c r="T59" i="2"/>
  <c r="T76" i="6"/>
  <c r="T119" i="6"/>
  <c r="T635" i="6"/>
  <c r="T557" i="6"/>
  <c r="T257" i="6"/>
  <c r="T55" i="6"/>
  <c r="T444" i="6"/>
  <c r="T10" i="6"/>
  <c r="T569" i="6"/>
  <c r="T542" i="6"/>
  <c r="T63" i="6"/>
  <c r="T265" i="6"/>
  <c r="D40" i="4"/>
  <c r="T570" i="6" s="1"/>
  <c r="T413" i="6"/>
  <c r="T634" i="6"/>
  <c r="T80" i="6"/>
  <c r="T604" i="6"/>
  <c r="T292" i="6"/>
  <c r="T571" i="6"/>
  <c r="T293" i="6"/>
  <c r="T79" i="6"/>
  <c r="T654" i="6"/>
  <c r="D41" i="4" l="1"/>
  <c r="T248" i="6"/>
  <c r="T522" i="6" l="1"/>
  <c r="T516" i="6"/>
  <c r="D42" i="4"/>
  <c r="T467" i="6"/>
  <c r="T37" i="6"/>
  <c r="T583" i="6"/>
  <c r="T397" i="6"/>
  <c r="T620" i="6"/>
  <c r="T233" i="6" l="1"/>
  <c r="T488" i="6"/>
  <c r="T454" i="6"/>
  <c r="T12" i="6"/>
  <c r="T581" i="6"/>
  <c r="T60" i="6"/>
  <c r="D43" i="4"/>
  <c r="T663" i="6" s="1"/>
  <c r="T532" i="6"/>
  <c r="T525" i="6"/>
  <c r="T380" i="6"/>
  <c r="T554" i="6"/>
  <c r="T45" i="6"/>
  <c r="T410" i="6"/>
  <c r="T289" i="6"/>
  <c r="T68" i="6"/>
  <c r="T405" i="6"/>
  <c r="T275" i="6"/>
  <c r="T64" i="2" l="1"/>
  <c r="T62" i="6"/>
  <c r="T51" i="6"/>
  <c r="T395" i="6"/>
  <c r="T53" i="6"/>
  <c r="T65" i="6"/>
  <c r="T315" i="6"/>
  <c r="T464" i="6"/>
  <c r="D44" i="4"/>
  <c r="T480" i="6"/>
  <c r="T83" i="6"/>
  <c r="T226" i="6"/>
  <c r="T602" i="6"/>
  <c r="T66" i="6"/>
  <c r="T302" i="6"/>
  <c r="T53" i="2" l="1"/>
  <c r="T534" i="6"/>
  <c r="T47" i="6"/>
  <c r="T35" i="6"/>
  <c r="T365" i="6"/>
  <c r="T27" i="6"/>
  <c r="T393" i="6"/>
  <c r="T553" i="6"/>
  <c r="T354" i="6"/>
  <c r="T453" i="6"/>
  <c r="T603" i="6"/>
  <c r="T490" i="6"/>
  <c r="T389" i="6"/>
  <c r="T94" i="6"/>
  <c r="T347" i="6"/>
  <c r="T15" i="6"/>
  <c r="T298" i="6"/>
  <c r="T535" i="6"/>
  <c r="T656" i="6"/>
  <c r="T231" i="6"/>
  <c r="T350" i="6"/>
  <c r="T385" i="6"/>
  <c r="T429" i="6"/>
  <c r="D45" i="4"/>
  <c r="T321" i="6"/>
  <c r="T566" i="6"/>
  <c r="T662" i="6"/>
  <c r="T419" i="6"/>
  <c r="T420" i="6"/>
  <c r="T562" i="6"/>
  <c r="T417" i="6"/>
  <c r="T39" i="6"/>
  <c r="T457" i="6"/>
  <c r="T73" i="6"/>
  <c r="T462" i="6"/>
  <c r="T551" i="6"/>
  <c r="T491" i="6"/>
  <c r="T546" i="6"/>
  <c r="T52" i="6"/>
  <c r="T594" i="6"/>
  <c r="T373" i="6"/>
  <c r="T259" i="6"/>
  <c r="T374" i="6"/>
  <c r="T96" i="6"/>
  <c r="T519" i="6"/>
  <c r="T98" i="6" l="1"/>
  <c r="T536" i="6"/>
  <c r="T434" i="6"/>
  <c r="T16" i="6"/>
  <c r="T58" i="6"/>
  <c r="T57" i="6"/>
  <c r="T625" i="6"/>
  <c r="T459" i="6"/>
  <c r="D46" i="4"/>
  <c r="T409" i="6" s="1"/>
  <c r="T573" i="6"/>
  <c r="T356" i="6"/>
  <c r="T383" i="6"/>
  <c r="T665" i="6"/>
  <c r="T40" i="6"/>
  <c r="T367" i="6"/>
  <c r="T221" i="6" l="1"/>
  <c r="T332" i="6"/>
  <c r="D47" i="4"/>
  <c r="T461" i="6"/>
  <c r="T518" i="6"/>
  <c r="T597" i="6"/>
  <c r="T140" i="6" l="1"/>
  <c r="T564" i="6"/>
  <c r="T348" i="6"/>
  <c r="T427" i="6"/>
  <c r="T496" i="6"/>
  <c r="T414" i="6"/>
  <c r="T567" i="6"/>
  <c r="D48" i="4"/>
  <c r="T103" i="6"/>
  <c r="T576" i="6"/>
  <c r="T49" i="6"/>
  <c r="T90" i="6"/>
  <c r="T89" i="6" l="1"/>
  <c r="T514" i="6"/>
  <c r="T589" i="6"/>
  <c r="T471" i="6"/>
  <c r="T368" i="6"/>
  <c r="T276" i="6"/>
  <c r="T280" i="6"/>
  <c r="T271" i="6"/>
  <c r="T20" i="6"/>
  <c r="T456" i="6"/>
  <c r="D49" i="4"/>
  <c r="T118" i="6"/>
  <c r="T558" i="6"/>
  <c r="T317" i="6"/>
  <c r="T658" i="6"/>
  <c r="T559" i="6"/>
  <c r="T539" i="6"/>
  <c r="T657" i="6"/>
  <c r="T577" i="6"/>
  <c r="T580" i="6"/>
  <c r="T463" i="6"/>
  <c r="T666" i="6"/>
  <c r="T311" i="6"/>
  <c r="T4" i="6"/>
  <c r="T306" i="6"/>
  <c r="T50" i="6" l="1"/>
  <c r="T108" i="6"/>
  <c r="T432" i="6"/>
  <c r="T404" i="6"/>
  <c r="T42" i="6"/>
  <c r="T384" i="6"/>
  <c r="T472" i="6"/>
  <c r="T466" i="6"/>
  <c r="T465" i="6"/>
  <c r="T84" i="6"/>
  <c r="D50" i="4"/>
  <c r="T135" i="6"/>
  <c r="T331" i="6"/>
  <c r="T316" i="6"/>
  <c r="T611" i="6"/>
  <c r="T85" i="6"/>
  <c r="T578" i="6"/>
  <c r="T239" i="6"/>
  <c r="T547" i="6"/>
  <c r="T423" i="6"/>
  <c r="T243" i="6" l="1"/>
  <c r="T287" i="6"/>
  <c r="T245" i="6"/>
  <c r="T28" i="6"/>
  <c r="T110" i="6"/>
  <c r="T269" i="6"/>
  <c r="T244" i="6"/>
  <c r="T267" i="6"/>
  <c r="T21" i="6"/>
  <c r="T469" i="6"/>
  <c r="T272" i="6"/>
  <c r="T109" i="6"/>
  <c r="T274" i="6"/>
  <c r="T517" i="6"/>
  <c r="T394" i="6"/>
  <c r="T403" i="6"/>
  <c r="T93" i="6"/>
  <c r="T268" i="6"/>
  <c r="T286" i="6"/>
  <c r="T279" i="6"/>
  <c r="T428" i="6"/>
  <c r="T273" i="6"/>
  <c r="T406" i="6"/>
  <c r="T476" i="6"/>
  <c r="T281" i="6"/>
  <c r="T99" i="6"/>
  <c r="T278" i="6"/>
  <c r="T270" i="6"/>
  <c r="T386" i="6"/>
  <c r="T100" i="6"/>
  <c r="T232" i="6"/>
  <c r="T277" i="6"/>
  <c r="T470" i="6"/>
  <c r="T227" i="6"/>
  <c r="T19" i="6"/>
  <c r="T477" i="6"/>
  <c r="T22" i="6"/>
  <c r="T425" i="6"/>
  <c r="T92" i="6"/>
  <c r="T436" i="6"/>
  <c r="T288" i="6"/>
  <c r="T282" i="6"/>
  <c r="T426" i="6"/>
  <c r="T228" i="6"/>
  <c r="T71" i="6"/>
  <c r="T371" i="6"/>
  <c r="T623" i="6"/>
  <c r="T285" i="6"/>
  <c r="T431" i="6"/>
  <c r="T357" i="6"/>
  <c r="T237" i="6"/>
  <c r="T422" i="6"/>
  <c r="D51" i="4"/>
  <c r="T7" i="6"/>
  <c r="T307" i="6"/>
  <c r="T548" i="6"/>
  <c r="T330" i="6"/>
  <c r="T482" i="6"/>
  <c r="T655" i="6"/>
  <c r="T447" i="6"/>
  <c r="T319" i="6"/>
  <c r="T550" i="6"/>
  <c r="T128" i="6"/>
  <c r="T552" i="6"/>
  <c r="T598" i="6"/>
  <c r="T325" i="6"/>
  <c r="T34" i="6"/>
  <c r="T139" i="6"/>
  <c r="T141" i="6"/>
  <c r="T143" i="6"/>
  <c r="T44" i="6"/>
  <c r="T549" i="6"/>
  <c r="T120" i="6"/>
  <c r="T122" i="6"/>
  <c r="T101" i="6"/>
  <c r="T322" i="6"/>
  <c r="T218" i="6"/>
  <c r="T660" i="6"/>
  <c r="T32" i="6"/>
  <c r="T485" i="6"/>
  <c r="T123" i="6"/>
  <c r="T129" i="6"/>
  <c r="T102" i="6"/>
  <c r="T33" i="6"/>
  <c r="T451" i="6"/>
  <c r="T342" i="6"/>
  <c r="T77" i="6"/>
  <c r="T544" i="6"/>
  <c r="T23" i="6"/>
  <c r="T486" i="6"/>
  <c r="T126" i="6"/>
  <c r="T341" i="6"/>
  <c r="T531" i="6"/>
  <c r="T113" i="6"/>
  <c r="T24" i="6"/>
  <c r="T489" i="6"/>
  <c r="T448" i="6"/>
  <c r="T133" i="6"/>
  <c r="T320" i="6"/>
  <c r="T449" i="6"/>
  <c r="T339" i="6"/>
  <c r="T565" i="6"/>
  <c r="T441" i="6"/>
  <c r="T310" i="6"/>
  <c r="T303" i="6"/>
  <c r="T437" i="6"/>
  <c r="T6" i="6"/>
  <c r="T438" i="6"/>
  <c r="T308" i="6"/>
  <c r="T304" i="6"/>
  <c r="T256" i="6" l="1"/>
  <c r="T402" i="6"/>
  <c r="T253" i="6"/>
  <c r="T246" i="6"/>
  <c r="T64" i="6"/>
  <c r="T377" i="6"/>
  <c r="T400" i="6"/>
  <c r="T398" i="6"/>
  <c r="D52" i="4"/>
  <c r="T8" i="6"/>
  <c r="T646" i="6"/>
  <c r="T503" i="6"/>
  <c r="T333" i="6"/>
  <c r="T46" i="6"/>
  <c r="T305" i="6"/>
  <c r="T247" i="6" l="1"/>
  <c r="T74" i="6"/>
  <c r="D53" i="4"/>
  <c r="T344" i="6"/>
  <c r="T586" i="6" l="1"/>
  <c r="T297" i="6"/>
  <c r="T294" i="6"/>
  <c r="T382" i="6"/>
  <c r="T300" i="6"/>
  <c r="T31" i="6"/>
  <c r="T412" i="6"/>
  <c r="T251" i="6"/>
  <c r="T388" i="6"/>
  <c r="T593" i="6"/>
  <c r="D54" i="4"/>
  <c r="T114" i="6"/>
  <c r="T445" i="6"/>
  <c r="T54" i="6"/>
  <c r="T105" i="6"/>
  <c r="T515" i="6"/>
  <c r="T545" i="6"/>
  <c r="T121" i="6"/>
  <c r="T309" i="6"/>
  <c r="T443" i="6"/>
  <c r="T62" i="2" l="1"/>
  <c r="T67" i="6"/>
  <c r="T95" i="6"/>
  <c r="T474" i="6"/>
  <c r="T235" i="6"/>
  <c r="T372" i="6"/>
  <c r="T97" i="6"/>
  <c r="T124" i="6"/>
  <c r="T283" i="6"/>
  <c r="T378" i="6"/>
  <c r="T240" i="6"/>
  <c r="D55" i="4"/>
  <c r="T327" i="6"/>
  <c r="T210" i="6"/>
  <c r="T324" i="6"/>
  <c r="T104" i="6"/>
  <c r="T418" i="6"/>
  <c r="T130" i="6"/>
  <c r="T26" i="6"/>
  <c r="T478" i="6"/>
  <c r="T479" i="6"/>
</calcChain>
</file>

<file path=xl/sharedStrings.xml><?xml version="1.0" encoding="utf-8"?>
<sst xmlns="http://schemas.openxmlformats.org/spreadsheetml/2006/main" count="7881" uniqueCount="563">
  <si>
    <t>Data de Crédito ou Pagto (completa)</t>
  </si>
  <si>
    <t>Data de Pagto ou Recbto (completa)</t>
  </si>
  <si>
    <t>Data de Emissão (completa)</t>
  </si>
  <si>
    <t>Data de Registro (completa)</t>
  </si>
  <si>
    <t>Data de Previsão (completa)</t>
  </si>
  <si>
    <t>Cliente ou Fornecedor (Nome Fantasia)</t>
  </si>
  <si>
    <t>Tipo</t>
  </si>
  <si>
    <t>Categoria</t>
  </si>
  <si>
    <t>Valor da Conta</t>
  </si>
  <si>
    <t>Pago ou Recebido</t>
  </si>
  <si>
    <t>A Pagar ou Receber</t>
  </si>
  <si>
    <t>Conta Corrente</t>
  </si>
  <si>
    <t>Departamento</t>
  </si>
  <si>
    <t>Observação da Conta</t>
  </si>
  <si>
    <t>Origem</t>
  </si>
  <si>
    <t>NF/CF</t>
  </si>
  <si>
    <t>Número do Documento</t>
  </si>
  <si>
    <t>Tipo do Documento</t>
  </si>
  <si>
    <t>MARCELO DE ANGELO</t>
  </si>
  <si>
    <t>1. Contas a Receber</t>
  </si>
  <si>
    <t>Empréstimos Bancários</t>
  </si>
  <si>
    <t>BRB - Banco de Brasília</t>
  </si>
  <si>
    <t>1. Adminstrativo</t>
  </si>
  <si>
    <t>N/D</t>
  </si>
  <si>
    <t>Recebimento de Conta a Receber</t>
  </si>
  <si>
    <t>Outros</t>
  </si>
  <si>
    <t>GUSTAVO CEZAR DE CARVALHO</t>
  </si>
  <si>
    <t>2. Contas a Pagar</t>
  </si>
  <si>
    <t>Despesas de Viagens</t>
  </si>
  <si>
    <t>3.1 MOBILIZAÇÃO</t>
  </si>
  <si>
    <t>Despesas viagem engenheiro residente - MOBILIZAÇÃO</t>
  </si>
  <si>
    <t>Pagamento de Conta a Pagar</t>
  </si>
  <si>
    <t>KONTIK CENTRO</t>
  </si>
  <si>
    <t>Passagens Aéreas</t>
  </si>
  <si>
    <t>Passagem aérea ida e volta de André e felipe - MOBILIZAÇÃO</t>
  </si>
  <si>
    <t>PNEUS BRASILIA</t>
  </si>
  <si>
    <t>Compra de 4 pneus pro carro que está com o engenheiro residente - MOBILIZAÇÃO</t>
  </si>
  <si>
    <t>MOVIDA PARTICIPACOES S.A.</t>
  </si>
  <si>
    <t>TRANSPORTE</t>
  </si>
  <si>
    <t>Aluguel carro felipe e André - MOBILIZAÇÃO</t>
  </si>
  <si>
    <t>ANDRE LUCIANO DE OLIVEIRA SALGADO</t>
  </si>
  <si>
    <t>Caução aluguel veículo - MOBILIZAÇÃO</t>
  </si>
  <si>
    <t>RADAR HOSPEDAGEM LTDA</t>
  </si>
  <si>
    <t>Alimentação</t>
  </si>
  <si>
    <t>Alimentação felipe e André - MOBILIZAÇÃO</t>
  </si>
  <si>
    <t>Hospedagem</t>
  </si>
  <si>
    <t>Hospedagem André e felipe - MOBILIZAÇÃO</t>
  </si>
  <si>
    <t>RESTAURANTE</t>
  </si>
  <si>
    <t>Alimentação - MOBILIZAÇÃO - PARRILLA AMO COMERCIO DE ALIMENTOS LTD</t>
  </si>
  <si>
    <t>Pagamento de Empréstimos</t>
  </si>
  <si>
    <t>Empréstimo dessa operação para outra operação do André.  colocar devolução para dia 17 de março</t>
  </si>
  <si>
    <t>Alimentação - MOBILIZAÇÃO - ALFA COMERCIO DE COMBUSTIVEIS LTD</t>
  </si>
  <si>
    <t>DOCE CAFE COMERCIO DE ALIMENTOS LTDA</t>
  </si>
  <si>
    <t>DELTAPAG SOLUCOES DE PAGAMENTO</t>
  </si>
  <si>
    <t>Jantar com parceiro - MOBILIZAÇÃO</t>
  </si>
  <si>
    <t>Alimentação - MOBILIZAÇÃO -ALFA COMERCIO DE COMBUSTIVEIS LTDA</t>
  </si>
  <si>
    <t>Hospedagem - MOBILIZAÇÃO</t>
  </si>
  <si>
    <t>Adiantamento a Fornecedores</t>
  </si>
  <si>
    <t>Adiantamento de lucro para André</t>
  </si>
  <si>
    <t>QC SALGADO FILHO 2 LTDA</t>
  </si>
  <si>
    <t>Rótulos de Coluna</t>
  </si>
  <si>
    <t>Total Geral</t>
  </si>
  <si>
    <t>Soma de Pago ou Recebido</t>
  </si>
  <si>
    <t>Rótulos de Linha</t>
  </si>
  <si>
    <t>Situação</t>
  </si>
  <si>
    <t>Grupo</t>
  </si>
  <si>
    <t>Inativo</t>
  </si>
  <si>
    <t>Clientes - Venda de Mercadoria Fabricadas</t>
  </si>
  <si>
    <t>Ativo</t>
  </si>
  <si>
    <t>Receitas</t>
  </si>
  <si>
    <t>Clientes - Revenda de Mercadoria</t>
  </si>
  <si>
    <t>&lt;Disponível&gt;</t>
  </si>
  <si>
    <t>Dividendos Recebidos</t>
  </si>
  <si>
    <t>Rendimentos de Aplicações</t>
  </si>
  <si>
    <t>Devoluções de Compra de Mercadoria de Revenda</t>
  </si>
  <si>
    <t>Devoluções de Compra de Material de Consumo</t>
  </si>
  <si>
    <t>Devoluções de Compra de Matéria Prima</t>
  </si>
  <si>
    <t>Devoluções de Compra de Ativo</t>
  </si>
  <si>
    <t>Devoluções de Compra de Serviços</t>
  </si>
  <si>
    <t>Adiantamento de Clientes</t>
  </si>
  <si>
    <t>Reembolso de Despesas</t>
  </si>
  <si>
    <t>Aumento de Capital</t>
  </si>
  <si>
    <t>Venda de Participações</t>
  </si>
  <si>
    <t>Venda de Ativos</t>
  </si>
  <si>
    <t>Prêmios de Seguros / Sinistros</t>
  </si>
  <si>
    <t>&lt;Incluir novo grupo de Receita&gt;</t>
  </si>
  <si>
    <t>Compras de Mercadorias para Revenda</t>
  </si>
  <si>
    <t>Frete</t>
  </si>
  <si>
    <t>Compras de Materia Prima</t>
  </si>
  <si>
    <t>Compra de Serviços</t>
  </si>
  <si>
    <t>Tubos e conexoes</t>
  </si>
  <si>
    <t>MAO DE OBRA</t>
  </si>
  <si>
    <t>CONCRETO</t>
  </si>
  <si>
    <t>Agregado</t>
  </si>
  <si>
    <t>INSUMO</t>
  </si>
  <si>
    <t>FERRAGEM</t>
  </si>
  <si>
    <t>SERVIÇO</t>
  </si>
  <si>
    <t>RATEIO</t>
  </si>
  <si>
    <t>LOCAÇAO</t>
  </si>
  <si>
    <t>MADEIRA</t>
  </si>
  <si>
    <t>FABRICA</t>
  </si>
  <si>
    <t>Pre moldado</t>
  </si>
  <si>
    <t>TELHAS</t>
  </si>
  <si>
    <t>REVESTIMENTO</t>
  </si>
  <si>
    <t>ESQUADRIA</t>
  </si>
  <si>
    <t>TINTAS</t>
  </si>
  <si>
    <t>ELETRICO</t>
  </si>
  <si>
    <t>LOUÇAS</t>
  </si>
  <si>
    <t>BANCADA</t>
  </si>
  <si>
    <t>METAL</t>
  </si>
  <si>
    <t>MATERIAL</t>
  </si>
  <si>
    <t>Comissões</t>
  </si>
  <si>
    <t>Marketing</t>
  </si>
  <si>
    <t>Bonificações</t>
  </si>
  <si>
    <t>Salários</t>
  </si>
  <si>
    <t>Adiantamento</t>
  </si>
  <si>
    <t>Férias</t>
  </si>
  <si>
    <t>Rescisões</t>
  </si>
  <si>
    <t>13º Salário</t>
  </si>
  <si>
    <t>INSS</t>
  </si>
  <si>
    <t>FGTS</t>
  </si>
  <si>
    <t>IRRF</t>
  </si>
  <si>
    <t>Pensão Alimentícia</t>
  </si>
  <si>
    <t>Assistência Médica</t>
  </si>
  <si>
    <t>Vale Transporte</t>
  </si>
  <si>
    <t>Vale Refeição</t>
  </si>
  <si>
    <t>Seguro de Vida</t>
  </si>
  <si>
    <t>Outros Benefícios</t>
  </si>
  <si>
    <t>Aluguel</t>
  </si>
  <si>
    <t>Condomínio</t>
  </si>
  <si>
    <t>Água e Esgoto</t>
  </si>
  <si>
    <t>Energia Elétrica</t>
  </si>
  <si>
    <t>Telefonia</t>
  </si>
  <si>
    <t>Material de Escritório</t>
  </si>
  <si>
    <t>Manutenção de Imobilizado</t>
  </si>
  <si>
    <t>Seguros</t>
  </si>
  <si>
    <t>IPTU</t>
  </si>
  <si>
    <t>Contabilidade</t>
  </si>
  <si>
    <t>Advogados</t>
  </si>
  <si>
    <t>Auditorias</t>
  </si>
  <si>
    <t>Segurança</t>
  </si>
  <si>
    <t>Limpeza</t>
  </si>
  <si>
    <t>ADMINISTRAÇAO</t>
  </si>
  <si>
    <t>Juros sobre Empréstimos</t>
  </si>
  <si>
    <t>Multas</t>
  </si>
  <si>
    <t>Tarifas Bancárias</t>
  </si>
  <si>
    <t>ICMS</t>
  </si>
  <si>
    <t>IPI</t>
  </si>
  <si>
    <t>PIS</t>
  </si>
  <si>
    <t>COFINS</t>
  </si>
  <si>
    <t>IRPJ</t>
  </si>
  <si>
    <t>Contribuição Social</t>
  </si>
  <si>
    <t>ISS</t>
  </si>
  <si>
    <t>Simples Nacional (DAS)</t>
  </si>
  <si>
    <t>IOF</t>
  </si>
  <si>
    <t>EQUIPAMENTO</t>
  </si>
  <si>
    <t>Veículos</t>
  </si>
  <si>
    <t>Instalações</t>
  </si>
  <si>
    <t>Equipamentos de Informática</t>
  </si>
  <si>
    <t>Móveis e Utensílios</t>
  </si>
  <si>
    <t>Comunicação</t>
  </si>
  <si>
    <t>Demais Despesas</t>
  </si>
  <si>
    <t>Devoluções de Vendas de Mercadoria</t>
  </si>
  <si>
    <t>Devoluções de Vendas de Serviços Prestados</t>
  </si>
  <si>
    <t>&lt;Incluir novo grupo de Despesa&gt;</t>
  </si>
  <si>
    <t>1.1 Receitas Diretas</t>
  </si>
  <si>
    <t>1.2 Receitas Indiretas</t>
  </si>
  <si>
    <t>1.3 Devoluções</t>
  </si>
  <si>
    <t>1.4 Outras Entradas</t>
  </si>
  <si>
    <t>2.1 Despesas Diretas</t>
  </si>
  <si>
    <t>2.2 Despesas de Vendas e Marketing</t>
  </si>
  <si>
    <t>2.3 Despesas com Pessoal</t>
  </si>
  <si>
    <t>2.4 Despesas Administrativas</t>
  </si>
  <si>
    <t>2.5 Despesas Financeiras / Bancos</t>
  </si>
  <si>
    <t>2.6 Impostos e Taxas</t>
  </si>
  <si>
    <t>2.7 Investimento</t>
  </si>
  <si>
    <t>2.8 Outras Despesas</t>
  </si>
  <si>
    <t>2.9 Devoluções de Vendas</t>
  </si>
  <si>
    <t>Conta Pai</t>
  </si>
  <si>
    <t xml:space="preserve">SALDO INICIAL </t>
  </si>
  <si>
    <t xml:space="preserve">ENTRADAS </t>
  </si>
  <si>
    <t>SAÍDAS</t>
  </si>
  <si>
    <t xml:space="preserve">SALDO FINAL </t>
  </si>
  <si>
    <t>Soma de A Pagar ou Receber</t>
  </si>
  <si>
    <t>PREVISAO</t>
  </si>
  <si>
    <t>Caixinha</t>
  </si>
  <si>
    <t>3.18 ELETRICA EFIAÇÃO + TOMADAS</t>
  </si>
  <si>
    <t>Conta a Pagar</t>
  </si>
  <si>
    <t>3.7 CAIXAS DE INSPEÇÃO E GORDURA</t>
  </si>
  <si>
    <t>3.12 ESQUADRA DE ALUMINO</t>
  </si>
  <si>
    <t>3.22  LOUÇAS E METAIS</t>
  </si>
  <si>
    <t>3.13 ESQUADRIAS EM ALUMINIO - JANELAS EXTERNAS</t>
  </si>
  <si>
    <t>3 . Operação</t>
  </si>
  <si>
    <t>Contas a Receber (repetição)</t>
  </si>
  <si>
    <t>3.26  LIMPEZA FINAL DE OBRA</t>
  </si>
  <si>
    <t>3.3 PAREDES COM CONCRETO</t>
  </si>
  <si>
    <t>3.12 ESQUADRIA DE MADEIRA</t>
  </si>
  <si>
    <t>3.6 BARRILETE E RESERV.</t>
  </si>
  <si>
    <t>3.16  PINTURA INTERNA</t>
  </si>
  <si>
    <t>3.14  MASSA NIVELADORA</t>
  </si>
  <si>
    <t>3.27  GESTÃO LOCAL</t>
  </si>
  <si>
    <t>3.10   PISO E RODAPÉ</t>
  </si>
  <si>
    <t>3.9  AZULEJOS</t>
  </si>
  <si>
    <t>3.11 PINGADEIRAS E SOLEIRAS</t>
  </si>
  <si>
    <t>3.17  PINTURA EXT.</t>
  </si>
  <si>
    <t>8</t>
  </si>
  <si>
    <t>3.5 IMPERMEABILIZAÇAO INTERNA</t>
  </si>
  <si>
    <t>3.8 COBERTURA</t>
  </si>
  <si>
    <t>3.2 RADIER</t>
  </si>
  <si>
    <t>3.25  CALÇADA DE ACESSO</t>
  </si>
  <si>
    <t>3.4 GRAUTEAMENTO</t>
  </si>
  <si>
    <t>3.24  ENTRADA DE ÁGUA</t>
  </si>
  <si>
    <t>Cartão Marcelo - Comp 11 Venc 17</t>
  </si>
  <si>
    <t>Contas a Pagar (repetição)</t>
  </si>
  <si>
    <t>3.23 POSTE DE ENERGIA</t>
  </si>
  <si>
    <t>3.28  DESPESAS ACESSÓRIAS</t>
  </si>
  <si>
    <t>3.15 ESPERAS DE ESGOTO RADIER</t>
  </si>
  <si>
    <t>3</t>
  </si>
  <si>
    <t>1</t>
  </si>
  <si>
    <t>7</t>
  </si>
  <si>
    <t>11</t>
  </si>
  <si>
    <t>14</t>
  </si>
  <si>
    <t>4</t>
  </si>
  <si>
    <t>Conta a Receber</t>
  </si>
  <si>
    <t>Conta a Pagar importada automaticamente em 12/03/2026 às 15:03. contrato industrializaçao paredes</t>
  </si>
  <si>
    <t>10</t>
  </si>
  <si>
    <t>Conta a Pagar importada automaticamente em 12/03/2026 às 15:03. TOPOGRAFO</t>
  </si>
  <si>
    <t>13</t>
  </si>
  <si>
    <t>12</t>
  </si>
  <si>
    <t>Conta a Pagar importada automaticamente em 12/03/2026 às 15:09. ENGENHEIRO RESIDENTE  - carro e gasolina inclusos</t>
  </si>
  <si>
    <t>Despesa a Identificar</t>
  </si>
  <si>
    <t>Distribuição de Lucros</t>
  </si>
  <si>
    <t>REALIZE GESTAO</t>
  </si>
  <si>
    <t>VALOR DE SALDO QUE JUSTIFICA A TRANSF DE 213K PARA A CONTA DA CAIXA</t>
  </si>
  <si>
    <t>Lançamento de Crédito</t>
  </si>
  <si>
    <t>TOKIO MARINE SEGURADORA S.A.</t>
  </si>
  <si>
    <t>Conta a Pagar importada automaticamente em 12/03/2026 às 15:03. SEGURO DO EMPRÉSTIMO ADQUIRIDO PELO MARCELO E PAGO POR ELE ABATENDO DO VALOR CREDITADO NA CONTA DA CONSTRUTORA</t>
  </si>
  <si>
    <t>Não informado</t>
  </si>
  <si>
    <t>Caixa Econômica Federal</t>
  </si>
  <si>
    <t>TARIFA MANUTENCAO CONTA A</t>
  </si>
  <si>
    <t>Lançamento de Débito</t>
  </si>
  <si>
    <t>000000</t>
  </si>
  <si>
    <t>OITO APOIO ADMINISTRATIVO E LOGISTICO</t>
  </si>
  <si>
    <t>DEB PIX CHAVE</t>
  </si>
  <si>
    <t>091548</t>
  </si>
  <si>
    <t>TAR PIX</t>
  </si>
  <si>
    <t>091554</t>
  </si>
  <si>
    <t>Gerado automaticamente pela importação do extrato. PIX RECEBIDO</t>
  </si>
  <si>
    <t>091531</t>
  </si>
  <si>
    <t>Gerado automaticamente pela importação do extrato. DEB PIX CHAVE</t>
  </si>
  <si>
    <t>Entrada de Transferência</t>
  </si>
  <si>
    <t>PIX RECEBIDO</t>
  </si>
  <si>
    <t>Crédito de Transferência entre Contas Correntes</t>
  </si>
  <si>
    <t>100948</t>
  </si>
  <si>
    <t>101658</t>
  </si>
  <si>
    <t>Pagamento Devolvido</t>
  </si>
  <si>
    <t>devolução valor transferido para outra conta</t>
  </si>
  <si>
    <t>CHARLES DE FRAGA DOMINGOS</t>
  </si>
  <si>
    <t>Gerado automaticamente pela importação do extrato. DEB PIX CHAVE - Mao de obra Terceirizada Radier</t>
  </si>
  <si>
    <t>101344</t>
  </si>
  <si>
    <t>Saída de Transferência</t>
  </si>
  <si>
    <t>Débito de Transferência entre Contas Correntes</t>
  </si>
  <si>
    <t>Gerado automaticamente pela importação do extrato. CONSORCIO - DESPESA DE OUTRO PROJETO QUE TEM QUE VOLTAR</t>
  </si>
  <si>
    <t>374751</t>
  </si>
  <si>
    <t>101845</t>
  </si>
  <si>
    <t>111628</t>
  </si>
  <si>
    <t>ALCIDES BOFF TISATTO</t>
  </si>
  <si>
    <t>Gerado automaticamente pela importação do extrato. DEB PIX CHAVE - ESTADIA EQUIPE RADIER - ADIANTAMENTO MAO DE OBRA RADIER</t>
  </si>
  <si>
    <t>FM SOLUÇOES</t>
  </si>
  <si>
    <t>111601</t>
  </si>
  <si>
    <t>111612</t>
  </si>
  <si>
    <t>ROSA MARIA SOARES DA CONCEICAO</t>
  </si>
  <si>
    <t>Gerado automaticamente pela importação do extrato. DEB PIX CHAVE - ESTADIA DOS PRIMEIROS DIAS DO ENGENHEIRO - HOSPEDAGEM</t>
  </si>
  <si>
    <t>111626</t>
  </si>
  <si>
    <t>111547</t>
  </si>
  <si>
    <t>110921</t>
  </si>
  <si>
    <t>Gerado automaticamente pela importação do extrato. DEB PIX CHAVE - ALUGUEL MORADIA GUSTAVO - ENGENHARIA 1K CAUÇÃO E 2K DE ALUGUEL</t>
  </si>
  <si>
    <t>FULLBPO</t>
  </si>
  <si>
    <t>Gerado automaticamente pela importação do extrato. DEB PIX CHAVE - FINANCEIRO</t>
  </si>
  <si>
    <t>RODRIGO ZULIAN</t>
  </si>
  <si>
    <t>121503</t>
  </si>
  <si>
    <t>121627</t>
  </si>
  <si>
    <t>NÃO IDENTIFICADO</t>
  </si>
  <si>
    <t>Gerado automaticamente pela importação do extrato. PIX ENVIADO - EMISSÃO DE CERTIDÃO - DESPESA ADM</t>
  </si>
  <si>
    <t>121026</t>
  </si>
  <si>
    <t>PREVENCAO BRASIL</t>
  </si>
  <si>
    <t>131515</t>
  </si>
  <si>
    <t>IRMAOS SALVADOR &amp; CIA. LTDA.</t>
  </si>
  <si>
    <t>Gerado automaticamente pela importação do extrato. DEB PIX CHAVE - ADIANTAMENTO MÃO DE OBRA RADIER</t>
  </si>
  <si>
    <t>130915</t>
  </si>
  <si>
    <t>131526</t>
  </si>
  <si>
    <t>130916</t>
  </si>
  <si>
    <t>Prego 17 x 27 cabeça dupla</t>
  </si>
  <si>
    <t>131346</t>
  </si>
  <si>
    <t>João Pedro da Silva Ribeiro</t>
  </si>
  <si>
    <t>140848</t>
  </si>
  <si>
    <t>Gerado automaticamente pela importação do extrato. DEB PIX CHAVE - Forma para Radier - tabua de eucalipto de 15 cm x 5,40m x 25mm de espessura + ripas de 5cm x 2,7m de 25mm</t>
  </si>
  <si>
    <t>DESPESA DE OUTRO PROJETO QUE TEM QUE VOLTAR</t>
  </si>
  <si>
    <t>JM FERRAGENS</t>
  </si>
  <si>
    <t>prev recebimento valor passado  no cartão</t>
  </si>
  <si>
    <t>Compra madeiras no cartão do Marcelo Ferro e material contenção lote 1 e area de convivencia</t>
  </si>
  <si>
    <t>Compra madeiras no cartão do Marcelo Forma para Radier - tabua de eucalipto de 15 cm x 5,40m x 25mm de espessura + ripas de 5cm x 2,7m de 25mm</t>
  </si>
  <si>
    <t>Pagamento de parcela de crédito passado no cartão</t>
  </si>
  <si>
    <t>Pagamento do empréstimo de 248k feito pelo Marcelo  [11:44, 16/03/2026] Felipe Fleury: Vamos fazer assim, coloca 4 e na quinta quitação dos 248k [11:45, 16/03/2026] Felipe Fleury: Os 248k cheio no quinto mês</t>
  </si>
  <si>
    <t>ALUGUEL MORADIA GUSTAVO - ENGENHARIA 1K CAUÇÃO E 2K DE ALUGUEL</t>
  </si>
  <si>
    <t>99 Transferências</t>
  </si>
  <si>
    <t>GERDAU</t>
  </si>
  <si>
    <t xml:space="preserve">MÃO DE OBRA - DIA 20 ADIANTAMENTO DE 40% E DIA 05 O RESTANTE </t>
  </si>
  <si>
    <t>Gerado automaticamente pela importação do extrato. PAG BOLETO IBC</t>
  </si>
  <si>
    <t>161459</t>
  </si>
  <si>
    <t>161335</t>
  </si>
  <si>
    <t>CAUÇÃO</t>
  </si>
  <si>
    <t>161541</t>
  </si>
  <si>
    <t>[10:54, 17/03/2026] Felipe Fleury: Ele vai levar mais 3 pessoas pra trabalhar lá [10:54, 17/03/2026] Felipe Fleury: Mão de obra radier</t>
  </si>
  <si>
    <t>171121</t>
  </si>
  <si>
    <t>171509</t>
  </si>
  <si>
    <t>Brita graduada (lastro para nivelamento) - 10 cm esp.; 15% penetração no solo</t>
  </si>
  <si>
    <t>EMPRESTIMO BRADESCO - R$ 182.000,00</t>
  </si>
  <si>
    <t>CONTA GARANTIDA SAFRA R$ 120.000,00</t>
  </si>
  <si>
    <t>Desmoldante TECNOMOR</t>
  </si>
  <si>
    <t>Aço - Tela Q-138 - 4.2 c/10 -  (245 x 600 cm) (frete de 300 + ipi de 133 incluido</t>
  </si>
  <si>
    <t>Lixa ferro p/cano pvc 100</t>
  </si>
  <si>
    <t>HORSTMANN</t>
  </si>
  <si>
    <t>Concreto Usinado fck - 25 Mpa ( Com perda de 10%) - SEM IMPERMEABILIZANTE - 140 +- 30 slump + Bomba de concreto  ( Taxa divide 1 casa e 1 radier ) =(512M*630,00)/2 + 2 DIARIAS 3500,00</t>
  </si>
  <si>
    <t>DEVOLUÇÃO CAUÇÃO</t>
  </si>
  <si>
    <t>LOGISTICA GESTÃO VISITA À OBRA</t>
  </si>
  <si>
    <t>1 BITREM 3950,00 PARA DUAS CASAS</t>
  </si>
  <si>
    <t>COMPLEMENTO 4 CASAS</t>
  </si>
  <si>
    <t>205K</t>
  </si>
  <si>
    <t>ENTREGA DIÁRIA - TODO DIA TEM BITREM</t>
  </si>
  <si>
    <t xml:space="preserve">POR SEMANA </t>
  </si>
  <si>
    <t xml:space="preserve">10/04 PRIMEIRO PAGAMENTO </t>
  </si>
  <si>
    <t xml:space="preserve">SEMANA </t>
  </si>
  <si>
    <t>TOTAL FRETE</t>
  </si>
  <si>
    <t>PAGAMENTO</t>
  </si>
  <si>
    <t>DATA</t>
  </si>
  <si>
    <t xml:space="preserve">DATA  MEDIÇÃO </t>
  </si>
  <si>
    <t>PAREDES - TRANSPORTE</t>
  </si>
  <si>
    <t xml:space="preserve">DIAS </t>
  </si>
  <si>
    <t xml:space="preserve">TOTAL </t>
  </si>
  <si>
    <t xml:space="preserve">IÇAMENTO </t>
  </si>
  <si>
    <t>DIARIA GUINDASTE</t>
  </si>
  <si>
    <t xml:space="preserve">DIARIA MUNK </t>
  </si>
  <si>
    <t>181323</t>
  </si>
  <si>
    <t>Gerado automaticamente pela importação do extrato. DEB PIX CHAVE Denis Juliano Andrade Souza-  - Almoço equipe radiers</t>
  </si>
  <si>
    <t>BITREM</t>
  </si>
  <si>
    <t>VANDERLEIA</t>
  </si>
  <si>
    <t>DATA REAL</t>
  </si>
  <si>
    <t>DATA AJUSTADA MEDIÇÃO</t>
  </si>
  <si>
    <t>IÇAMENTO</t>
  </si>
  <si>
    <t/>
  </si>
  <si>
    <t>LINHAS 7 ATÉ 39</t>
  </si>
  <si>
    <t xml:space="preserve">METADE  NA DATA BOLETOS JM FERRAGENS </t>
  </si>
  <si>
    <t>A OUTRA METADE UMA QUINZENA PRA FRENTE A 30/45/60</t>
  </si>
  <si>
    <t xml:space="preserve">LINHA 42 CONCRETO </t>
  </si>
  <si>
    <t>Tubo PVC DN 40mm branco rígido para esgoto sanitário</t>
  </si>
  <si>
    <t>Tubo PVC DN 50mm branco rígido para esgoto sanitário</t>
  </si>
  <si>
    <t>Tubo PVC DN 75mm branco rígido para esgoto sanitário</t>
  </si>
  <si>
    <t>Tubo PVC DN 100mm branco rígido para esgoto sanitário</t>
  </si>
  <si>
    <t>Tubo PVC DN 150mm branco rígido para esgoto sanitário</t>
  </si>
  <si>
    <t>Joelho 90º PVC DN 100mm branco rígido para esgoto sanitário predial</t>
  </si>
  <si>
    <t>Joelho 45º PVC DN 100mm branco rígido para esgoto sanitário predial</t>
  </si>
  <si>
    <t>Joelho 90º PVC DN 40mm branco rígido para esgoto sanitário predial</t>
  </si>
  <si>
    <t>Joelho 45º PVC DN 40mm branco rígido para esgoto sanitário predial</t>
  </si>
  <si>
    <t>Joelho 90º PVC DN 50mm branco junta elástica para esgoto sanitário</t>
  </si>
  <si>
    <t>Joelho 45º PVC DN 50mm branco rígido para esgoto sanitário predial</t>
  </si>
  <si>
    <t>Junção 45º simples PVC DN 50x50mm branco rígido para esgoto sanitário predial</t>
  </si>
  <si>
    <t>Junção de Redução invertica PVC DN 100x50mm branco rígido para esgoto sanitário predial</t>
  </si>
  <si>
    <t>TE DN 100x50mm PVC branco rígido para esgoto sanitário predial</t>
  </si>
  <si>
    <t>TE DN 50x50mm PVC branco rígido para esgoto sanitário predial</t>
  </si>
  <si>
    <t>Caixa Sifonada com grelha quadrada PVC DN 150x150x50 com junta soldável para ramal de esgoto sanitário</t>
  </si>
  <si>
    <t>Anel de vedação esg 100 mm</t>
  </si>
  <si>
    <t>Pasta lubruficante 400g</t>
  </si>
  <si>
    <t>Cola de cano PVC 1 LT</t>
  </si>
  <si>
    <t>Joelho 90º marrom DN 25mm soldável para água fria</t>
  </si>
  <si>
    <t>Joelho 45º marrom DN 25mm soldável para água fria</t>
  </si>
  <si>
    <t>Tubo DN 25 mm, PVC Rígido Soldável Marrom</t>
  </si>
  <si>
    <t>TE marrom DN 25mm soldável para água fria (agua)</t>
  </si>
  <si>
    <t>Luva marrom DN 25mm soldável para água fria (agua)</t>
  </si>
  <si>
    <t>Luva marrom 25mm x  1/2 rosqueavel para água fria (agua)</t>
  </si>
  <si>
    <t>cap rosqueavel 1/2</t>
  </si>
  <si>
    <t>Mangueira corrugada (conduite) PEAD 40mm para entrada de energia - preta</t>
  </si>
  <si>
    <t>Mangueira corrugada 25mm - Eletroduto flexível corrugado Reforçado, em PVC na cor laranja antichamas, conforme
NBR15465</t>
  </si>
  <si>
    <t>pa de concha com bico</t>
  </si>
  <si>
    <t>picareta</t>
  </si>
  <si>
    <t>carinho de mão reforçado</t>
  </si>
  <si>
    <t>Espaçador tipo cadeira - 192 unid. por casa - 30 mm</t>
  </si>
  <si>
    <t>Treliça H8 de 6 m para espaçar as duas telas - 10 unidades por casa</t>
  </si>
  <si>
    <t xml:space="preserve">Montagem de paredes pré-moldadas (içamento, prumo, alinhamento e escoramento com grauteamento) </t>
  </si>
  <si>
    <t>CARTAO DE CREDITO</t>
  </si>
  <si>
    <t>TILECOL</t>
  </si>
  <si>
    <t>SOLDA SUL</t>
  </si>
  <si>
    <t>REDEMAC</t>
  </si>
  <si>
    <t>MADEREIRA LOCAL</t>
  </si>
  <si>
    <t>PREVIBRAS / LIDER</t>
  </si>
  <si>
    <t>GABRIEL LOGISTICA</t>
  </si>
  <si>
    <t>AEV GUINDASTES</t>
  </si>
  <si>
    <t xml:space="preserve"> Revestimento Cerâmico  PEI IV 35 x 35- cor,  (perda 15%) - inclui rodapé</t>
  </si>
  <si>
    <t xml:space="preserve"> Argamassa colante AC I</t>
  </si>
  <si>
    <t xml:space="preserve"> Rejunte cimenticio</t>
  </si>
  <si>
    <t xml:space="preserve"> Espaçador cruzeta - 5mm (pacote com 100 unid)</t>
  </si>
  <si>
    <t xml:space="preserve"> Soleira em basalto  0,84 x 0,125 x 0,02 - cozinha</t>
  </si>
  <si>
    <t xml:space="preserve"> Soleira em basalto  0,94 x 0,125 x 0,02 - entrada</t>
  </si>
  <si>
    <t xml:space="preserve"> Bucha 6 mm para concreto</t>
  </si>
  <si>
    <t xml:space="preserve"> PORTA LAMINADA AL.BCO SOFT (37MM) ESQUERDA. 215X120</t>
  </si>
  <si>
    <t xml:space="preserve"> PORTA LAMINADA AL.BCO SOFT(37MM) DIR. 215X94</t>
  </si>
  <si>
    <t xml:space="preserve"> Parafuso panela fenda/phillips 4,8 x 50 mm - INOX</t>
  </si>
  <si>
    <t xml:space="preserve"> Espuma Expansiva de Poliuretano 300ml</t>
  </si>
  <si>
    <t xml:space="preserve"> Fita crepe 48 mm x 50 m</t>
  </si>
  <si>
    <t xml:space="preserve"> Selante acrilico c / 390 g - TECKBOND</t>
  </si>
  <si>
    <t xml:space="preserve"> Mao de obra terceirizada colocaçao de Portas externa</t>
  </si>
  <si>
    <t xml:space="preserve"> PORTA EM MADEIRA PINUS SECA EM ESTUFA P/ USO INTERNO  INCLUSO DOBRADIÇA E FECHADURA SOPRANO</t>
  </si>
  <si>
    <t xml:space="preserve"> ESPUMA EXPANSIVA DE POLIURETANO - 500 ML</t>
  </si>
  <si>
    <t xml:space="preserve"> VITRO SOFT AL.BC 2FL (53MM) 120 X 1,20</t>
  </si>
  <si>
    <t xml:space="preserve"> PORTA ALCAPAO ALUM.BCO (37MM) 60 x 50</t>
  </si>
  <si>
    <t xml:space="preserve"> Mao de obra terceirizada colocaçao de Esquadrias aluminio</t>
  </si>
  <si>
    <t xml:space="preserve"> Impermeabilizante bi componente semi flexível - IMPER TOP 512 ( 2 demaos - 1,8 kg/m²)</t>
  </si>
  <si>
    <t xml:space="preserve"> VITRO MAXIMO-AR ALUM.BCO (38MM) 60 X 60 MBOREAL</t>
  </si>
  <si>
    <t xml:space="preserve"> Mao de obra terceirizada Emassamento e lixamento  interno paredes e teto</t>
  </si>
  <si>
    <t xml:space="preserve"> Massa fina acabamento 18kg - branca</t>
  </si>
  <si>
    <t xml:space="preserve"> Lixa grao 150 -</t>
  </si>
  <si>
    <t xml:space="preserve"> TINTA ACRILICA CORALAR BRANCO 18 LITROS - laje (  cor BRANCA  ou similar) - 2 demaos</t>
  </si>
  <si>
    <t xml:space="preserve"> Fira crepe 50 mm x 50 m</t>
  </si>
  <si>
    <t xml:space="preserve"> Mao de obra terceirizada com equipamentos Pintura interna (2 demãos)</t>
  </si>
  <si>
    <t xml:space="preserve"> Mao de obra terceirizada Textura externa</t>
  </si>
  <si>
    <t xml:space="preserve"> Textura elastomerica na cor</t>
  </si>
  <si>
    <t xml:space="preserve"> Mao de obra terceirizada Pontos eletricos completos  + quadro</t>
  </si>
  <si>
    <t xml:space="preserve"> Cabo unipolar 10 mm² azul claro</t>
  </si>
  <si>
    <t xml:space="preserve"> Cabo unipolar 10 mm² preto</t>
  </si>
  <si>
    <t xml:space="preserve"> LAMPADA LED 10 W B</t>
  </si>
  <si>
    <t xml:space="preserve"> Plafon branco para lampada soquete</t>
  </si>
  <si>
    <t xml:space="preserve"> Cabo unipolar 2.5 mm² azul claro</t>
  </si>
  <si>
    <t xml:space="preserve"> Placa p/ 2 funções</t>
  </si>
  <si>
    <t xml:space="preserve"> Arandela tipo tartaruga para uso externo com grade na cor branca com lampada</t>
  </si>
  <si>
    <t xml:space="preserve"> Tomada universal retangular simples 2P+T 15A</t>
  </si>
  <si>
    <t xml:space="preserve"> Kit tampa quadro de distribuição 6 disjuntores</t>
  </si>
  <si>
    <t xml:space="preserve"> Campainha Cigarra + 1 Tecla Campainha Pollar Radial</t>
  </si>
  <si>
    <t xml:space="preserve"> Cabo unipolar 6 mm² azul claro</t>
  </si>
  <si>
    <t xml:space="preserve"> Disjuntor unipolar termomagnético DIN 60A</t>
  </si>
  <si>
    <t xml:space="preserve"> Cabo unipolar 10 mm² marrom</t>
  </si>
  <si>
    <t xml:space="preserve"> Placa 2x4" p/ 1 função redonda telefone</t>
  </si>
  <si>
    <t xml:space="preserve"> Arandela do tipo meia-lua de sobrepor cor branca com lâmpada</t>
  </si>
  <si>
    <t xml:space="preserve"> Cabo unipolar 2.5 mm² verde-amarelo</t>
  </si>
  <si>
    <t xml:space="preserve"> Placa p/ 1 função</t>
  </si>
  <si>
    <t xml:space="preserve"> Kit 1 Barramento Neutro + 1 Barramento Terra sem Proteção HC-004 80A | 12 Entradas</t>
  </si>
  <si>
    <t xml:space="preserve"> Cabo unipolar 1.5 mm² marrom</t>
  </si>
  <si>
    <t xml:space="preserve"> Cabo unipolar 1.5 mm² azul claro</t>
  </si>
  <si>
    <t xml:space="preserve"> Placa 2x4" tomada TV/SAT</t>
  </si>
  <si>
    <t xml:space="preserve"> Cabo unipolar 2.5 mm² marrom</t>
  </si>
  <si>
    <t xml:space="preserve"> Cabo unipolar 6 mm² marrom</t>
  </si>
  <si>
    <t xml:space="preserve"> Cabo unipolar 6 mm² verde-amarelo</t>
  </si>
  <si>
    <t xml:space="preserve"> Interruptor 1 tecla simples</t>
  </si>
  <si>
    <t xml:space="preserve"> Fita isolante preta 20 metros</t>
  </si>
  <si>
    <t xml:space="preserve"> Tomada telefone redonda 4P</t>
  </si>
  <si>
    <t xml:space="preserve"> Cabo unipolar 10 mm² verde-amarelo</t>
  </si>
  <si>
    <t xml:space="preserve"> Interruptor 2 teclas simples</t>
  </si>
  <si>
    <t xml:space="preserve"> Interruptor 1 tecla simples + tomada hexagonal NBR14136</t>
  </si>
  <si>
    <t xml:space="preserve"> CHUVEIRO, COM CANO, 3 TEMPERATURAS, 5500 W (110/220 V)</t>
  </si>
  <si>
    <t xml:space="preserve"> Disjuntor unipolar termomagnético DIN 15A</t>
  </si>
  <si>
    <t xml:space="preserve"> Selante Acrílico Elastométrico Top Gun 300 ml TG140 Renner</t>
  </si>
  <si>
    <t xml:space="preserve"> PARAFUSO PARA VASO E LAVATORIO / 8MM - COM BUCHA</t>
  </si>
  <si>
    <t xml:space="preserve"> ENGATE FLEXÍVEL EM PLÁSTICO BRANCO, 1/2" X 40CM</t>
  </si>
  <si>
    <t xml:space="preserve"> BACIA SANITARIA (VASO) C/ CAIXA ACOPLADA, DE LOUCA BRANCA EACIONAMENTO DUPLO</t>
  </si>
  <si>
    <t xml:space="preserve"> Veda Rosca Teflon Veda Tubulações 18mm x 50M</t>
  </si>
  <si>
    <t xml:space="preserve"> Anel Vedação P/bacia Sanitária C/guia 100MM Preto Amanco</t>
  </si>
  <si>
    <t xml:space="preserve"> Forma para Radier - tabua pinus 25mm para montagem do gabarito 2,70 m x 15cm</t>
  </si>
  <si>
    <t xml:space="preserve"> ripas de 5cm x 2,7m de 25mm</t>
  </si>
  <si>
    <t xml:space="preserve"> Forma para Radier - tabua de eucalipto de 15 cm x 5,40m x 25mm de espessura</t>
  </si>
  <si>
    <t xml:space="preserve"> Mao de obra Terceirizada Radier</t>
  </si>
  <si>
    <t xml:space="preserve"> Placa vibratoria reversivél CR5</t>
  </si>
  <si>
    <t xml:space="preserve"> Ensaio compreesão corpo prova</t>
  </si>
  <si>
    <t xml:space="preserve"> Cimento PortlanD CP IV 32 para limpeza da bomba</t>
  </si>
  <si>
    <t xml:space="preserve"> Arame Recozido bwg 18</t>
  </si>
  <si>
    <t xml:space="preserve"> Lona 150 micras</t>
  </si>
  <si>
    <t xml:space="preserve"> Válvula PVC Para Lavatório S/ladrao Amanco</t>
  </si>
  <si>
    <t xml:space="preserve"> COLUNA P/ LAVATÓRIO BRANCO</t>
  </si>
  <si>
    <t xml:space="preserve"> Sifão PVC Extensivo Corrugado Universal Para Lavatório E Tanque 7/8"-11/4" 740MM Branco Censi</t>
  </si>
  <si>
    <t xml:space="preserve"> LAVATORIO LOUCA BRANCA C/ COLUNA 470 X 425 MM (SOMENTELAVATÓRIO)</t>
  </si>
  <si>
    <t xml:space="preserve"> Torneira Banheiro Lavatório Bancada 1193 Metal C-23 Cromada</t>
  </si>
  <si>
    <t xml:space="preserve"> Torneira De Tanque / Jardim Luxo ¼ De Volta 100% Metal C-31</t>
  </si>
  <si>
    <t xml:space="preserve"> TANQUE LOUÇA BRANCO 20L , COM VALVULA DE SAIDA INTEGRADA 40MM</t>
  </si>
  <si>
    <t xml:space="preserve"> Grelha 100x100mm - chuveiro</t>
  </si>
  <si>
    <t xml:space="preserve"> ACABAMENTO CROMADO PARA REGISTRO pressao 3/4 ( tanque, maquina, pia coz)</t>
  </si>
  <si>
    <t xml:space="preserve"> ACABAMENTO CROMADO PARA REGISTRO GAVETA 3/4 ( tanque, maquina, pia coz)</t>
  </si>
  <si>
    <t xml:space="preserve"> Porta grelha dn 100mm - Chuveiro</t>
  </si>
  <si>
    <t xml:space="preserve"> Mao de obra loucas e metais Banheiro completo</t>
  </si>
  <si>
    <t xml:space="preserve"> Bancada de mármore sintético 120x60</t>
  </si>
  <si>
    <t xml:space="preserve"> torneira cromada para pia da cozinha</t>
  </si>
  <si>
    <t xml:space="preserve"> Porta papel higiênico sem tampa, cromado</t>
  </si>
  <si>
    <t xml:space="preserve"> Porta Toalha de rosto em metal cromado para banheiro</t>
  </si>
  <si>
    <t xml:space="preserve"> Poste de Energia - padrão da concessionária local</t>
  </si>
  <si>
    <t xml:space="preserve"> Instalação de Poste Padrão de Energia</t>
  </si>
  <si>
    <t xml:space="preserve"> Kit cavalete e hidrômetro - padrão corsan</t>
  </si>
  <si>
    <t xml:space="preserve"> Mureta padrão corsan com caixa de polietileno padrão corsan instalada</t>
  </si>
  <si>
    <t xml:space="preserve"> Brita 01 para espalhamento</t>
  </si>
  <si>
    <t xml:space="preserve"> Sarrafo 2,5x7,5x600cm em pinus</t>
  </si>
  <si>
    <t xml:space="preserve"> Tela Q - 61 aço CA50 a c/10 4.2mm</t>
  </si>
  <si>
    <t xml:space="preserve"> Prego 17 x 27 cabeça simples</t>
  </si>
  <si>
    <t xml:space="preserve"> concreto usinado FCK 20 Mpa</t>
  </si>
  <si>
    <t xml:space="preserve"> Mao de obra terceirizada limpeza final</t>
  </si>
  <si>
    <t xml:space="preserve"> ÁLCOOL 70 LIQUIDO 5L</t>
  </si>
  <si>
    <t xml:space="preserve"> DESINFETANTE 5L</t>
  </si>
  <si>
    <t xml:space="preserve"> DETERGENTE 5L</t>
  </si>
  <si>
    <t xml:space="preserve"> Alojamento Arbnb (mestre, engenheiro. Tecnico)</t>
  </si>
  <si>
    <t xml:space="preserve"> FINANCEIRO (terceirizado)</t>
  </si>
  <si>
    <t xml:space="preserve"> COMPRADOR</t>
  </si>
  <si>
    <t xml:space="preserve"> TOPOGRAFO</t>
  </si>
  <si>
    <t xml:space="preserve"> Bebedouro</t>
  </si>
  <si>
    <t xml:space="preserve"> ALMOXARIFADO</t>
  </si>
  <si>
    <t xml:space="preserve"> ENGENHEIRO RESIDENTE  - carro e gasolina inclusos</t>
  </si>
  <si>
    <t xml:space="preserve"> Aluguel container escritorio</t>
  </si>
  <si>
    <t xml:space="preserve"> TECNICO SEGURANÇA TRABALHO - ( rateado em 3 canteiros) carro incluso</t>
  </si>
  <si>
    <t xml:space="preserve"> mobilização / desmobilzaçao containers</t>
  </si>
  <si>
    <t xml:space="preserve"> Aluguel container Banheiro</t>
  </si>
  <si>
    <t xml:space="preserve"> Aluguel container almoxarifado</t>
  </si>
  <si>
    <t xml:space="preserve"> contrato industrializaçao paredes</t>
  </si>
  <si>
    <t xml:space="preserve"> material CIMENTO : KIT Parede e Laje - FOB na Fabrica</t>
  </si>
  <si>
    <t xml:space="preserve"> material FERRO: KIT Parede e Laje - FOB na Fabrica</t>
  </si>
  <si>
    <t xml:space="preserve"> mobilizaçao e desmobilização equipe montagem</t>
  </si>
  <si>
    <t xml:space="preserve"> Transporte de paredes e lajes (carreta + munck + carga/descarga) ? até 120 km</t>
  </si>
  <si>
    <t xml:space="preserve"> Aditivo supercristalizante Penetron</t>
  </si>
  <si>
    <t xml:space="preserve"> graute:  areia grossa</t>
  </si>
  <si>
    <t xml:space="preserve"> graute: pó de brita</t>
  </si>
  <si>
    <t xml:space="preserve"> Formas de tábua aparelhada de 20x2,5x540cm para fechamento de pilares</t>
  </si>
  <si>
    <t xml:space="preserve"> graute:  cimento PortlanD CP IV 32</t>
  </si>
  <si>
    <t xml:space="preserve"> Locação betoneira para bater o graute</t>
  </si>
  <si>
    <t xml:space="preserve"> Membrana líquida de poliuretano bicomponente 15Kg semi flexivel</t>
  </si>
  <si>
    <t xml:space="preserve"> Tela de Poliester</t>
  </si>
  <si>
    <t xml:space="preserve"> Membrana líquida de poliuretano bicomponente 15Kg flexivel</t>
  </si>
  <si>
    <t xml:space="preserve"> FRETE Tilecol e Solda Sul</t>
  </si>
  <si>
    <t xml:space="preserve"> Mao de obra Impermeabilização de áreas úmidas</t>
  </si>
  <si>
    <t xml:space="preserve"> Tubo DN 32 mm, PVC Rígido Soldável Marrom</t>
  </si>
  <si>
    <t xml:space="preserve"> Adaptador soldável flange 25mm 3/4</t>
  </si>
  <si>
    <t xml:space="preserve"> TE PVC Soldável 32 MM</t>
  </si>
  <si>
    <t xml:space="preserve"> Cola Pincel 175 g</t>
  </si>
  <si>
    <t xml:space="preserve"> Joelho 90 soldavel 32 mm, PVC marrom, água fria</t>
  </si>
  <si>
    <t xml:space="preserve"> Bucha de redução soldável curta 32mm x 25mm</t>
  </si>
  <si>
    <t xml:space="preserve"> Registro PVC Esfera Borboleta Soldável 25MM</t>
  </si>
  <si>
    <t xml:space="preserve"> Registro PVC Esfera Borboleta Soldável 32MM</t>
  </si>
  <si>
    <t xml:space="preserve"> Mao de obra instalaçao Caixa de agua e barrilete</t>
  </si>
  <si>
    <t xml:space="preserve"> Adaptador soldável flange 32 mm</t>
  </si>
  <si>
    <t xml:space="preserve"> Torneira Boia PVC Com Balão Plástico Para Caixa D'água 3/4"</t>
  </si>
  <si>
    <t xml:space="preserve"> Caixa D'Água Polietileno 500 Litros - FORTLEV</t>
  </si>
  <si>
    <t xml:space="preserve"> Curva 90° Soldável 25mm</t>
  </si>
  <si>
    <t xml:space="preserve"> LuvaPVC soldavél - 32 mm</t>
  </si>
  <si>
    <t xml:space="preserve"> Joelho 90 soldavel 25 mm, PVC marrom, água fria</t>
  </si>
  <si>
    <t xml:space="preserve"> Tubo DN 25 mm, PVC Rígido Soldável Marrom</t>
  </si>
  <si>
    <t xml:space="preserve"> Tubo pvc 50mm - Rede de Esgoto</t>
  </si>
  <si>
    <t xml:space="preserve"> Tubo pvc 40mm - Rede de Esgoto</t>
  </si>
  <si>
    <t xml:space="preserve"> Areia grossa</t>
  </si>
  <si>
    <t xml:space="preserve"> lastro de brita 01 - 10cm</t>
  </si>
  <si>
    <t xml:space="preserve"> Caixa inspecao 60x60x40 pre moldada com tampa</t>
  </si>
  <si>
    <t xml:space="preserve"> Tubo pvc 100mm - Rede de Esgoto</t>
  </si>
  <si>
    <t xml:space="preserve"> Caixa gordura 40x40x40 pre moldada com tampa</t>
  </si>
  <si>
    <t xml:space="preserve"> Rufos e calhas</t>
  </si>
  <si>
    <t xml:space="preserve"> Telha fibrocimento 6mm 2,44x1,1m, Cumeeira fibrocimento - 20º 6mm e Parafuso telheiro 1/4" x 110 mm com arruela/vedante: 150 un.</t>
  </si>
  <si>
    <t xml:space="preserve"> Estrutura SteelFrame com tesouras</t>
  </si>
  <si>
    <t xml:space="preserve"> Mao de obra terceirizada montagem e telhamento</t>
  </si>
  <si>
    <t xml:space="preserve"> Mao de obra terceirizada assentamento Azulejo</t>
  </si>
  <si>
    <t xml:space="preserve"> Argamassa colante AC I - Saco 20 Kg</t>
  </si>
  <si>
    <t xml:space="preserve"> Revestimento Cerâmico PEI II - 20 X 20, cor,  (perda 10%)</t>
  </si>
  <si>
    <t>mao de obra Terceirizada Caixas de inspecao e gordura</t>
  </si>
  <si>
    <t xml:space="preserve">  Mao de obra Assentamento Soleira em basalto  0,94 x 0,125 x 0,02 -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</si>
</sst>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#,##0.00;[Red]\(#,##0.00\);&quot;-&quot;"/>
    <numFmt numFmtId="167" formatCode="#,##0.00;[White]\(#,##0.00\);&quot;-&quot;"/>
    <numFmt numFmtId="168" formatCode="d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5795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0"/>
      <name val="Poppins"/>
      <family val="3"/>
    </font>
    <font>
      <b/>
      <sz val="9"/>
      <color theme="0"/>
      <name val="Poppins"/>
      <family val="3"/>
    </font>
    <font>
      <b/>
      <sz val="9"/>
      <color rgb="FF434CFF"/>
      <name val="Poppins"/>
      <family val="3"/>
    </font>
    <font>
      <b/>
      <sz val="9"/>
      <color theme="1"/>
      <name val="Poppins"/>
      <family val="3"/>
    </font>
    <font>
      <sz val="9"/>
      <color theme="1"/>
      <name val="Poppins"/>
      <family val="3"/>
    </font>
    <font>
      <b/>
      <sz val="11"/>
      <color theme="1"/>
      <name val="Calibri"/>
      <family val="2"/>
      <scheme val="minor"/>
    </font>
    <font>
      <sz val="12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434CFF"/>
        <bgColor indexed="64"/>
      </patternFill>
    </fill>
    <fill>
      <patternFill patternType="solid">
        <fgColor rgb="FFCEF86A"/>
        <bgColor indexed="64"/>
      </patternFill>
    </fill>
    <fill>
      <patternFill patternType="solid">
        <fgColor rgb="FF434CFF"/>
        <bgColor rgb="FF434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6" fontId="5" fillId="3" borderId="0" xfId="0" applyNumberFormat="1" applyFont="1" applyFill="1"/>
    <xf numFmtId="166" fontId="6" fillId="4" borderId="0" xfId="0" applyNumberFormat="1" applyFont="1" applyFill="1" applyAlignment="1">
      <alignment horizontal="center"/>
    </xf>
    <xf numFmtId="167" fontId="4" fillId="5" borderId="2" xfId="0" applyNumberFormat="1" applyFont="1" applyFill="1" applyBorder="1"/>
    <xf numFmtId="166" fontId="7" fillId="6" borderId="0" xfId="0" applyNumberFormat="1" applyFont="1" applyFill="1"/>
    <xf numFmtId="166" fontId="8" fillId="6" borderId="0" xfId="0" applyNumberFormat="1" applyFont="1" applyFill="1"/>
    <xf numFmtId="0" fontId="0" fillId="0" borderId="0" xfId="0" applyAlignment="1">
      <alignment horizontal="left" indent="3"/>
    </xf>
    <xf numFmtId="40" fontId="0" fillId="0" borderId="0" xfId="0" applyNumberFormat="1"/>
    <xf numFmtId="165" fontId="0" fillId="0" borderId="0" xfId="1" applyFont="1"/>
    <xf numFmtId="14" fontId="0" fillId="7" borderId="0" xfId="0" applyNumberFormat="1" applyFill="1"/>
    <xf numFmtId="165" fontId="0" fillId="7" borderId="0" xfId="1" applyFont="1" applyFill="1"/>
    <xf numFmtId="165" fontId="0" fillId="0" borderId="0" xfId="0" applyNumberFormat="1"/>
    <xf numFmtId="168" fontId="0" fillId="0" borderId="0" xfId="0" applyNumberFormat="1"/>
    <xf numFmtId="165" fontId="0" fillId="0" borderId="0" xfId="1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5" fontId="0" fillId="7" borderId="0" xfId="0" applyNumberFormat="1" applyFill="1"/>
    <xf numFmtId="14" fontId="0" fillId="7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1" applyFont="1" applyBorder="1"/>
    <xf numFmtId="165" fontId="0" fillId="0" borderId="0" xfId="1" applyFont="1" applyFill="1" applyBorder="1"/>
    <xf numFmtId="16" fontId="0" fillId="0" borderId="0" xfId="0" applyNumberFormat="1"/>
    <xf numFmtId="165" fontId="0" fillId="7" borderId="0" xfId="1" applyFont="1" applyFill="1" applyBorder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165" fontId="0" fillId="8" borderId="0" xfId="1" applyFont="1" applyFill="1" applyBorder="1"/>
    <xf numFmtId="14" fontId="0" fillId="11" borderId="0" xfId="0" applyNumberFormat="1" applyFill="1"/>
    <xf numFmtId="0" fontId="0" fillId="0" borderId="3" xfId="0" applyBorder="1"/>
    <xf numFmtId="14" fontId="0" fillId="0" borderId="0" xfId="1" applyNumberFormat="1" applyFont="1" applyBorder="1"/>
    <xf numFmtId="14" fontId="0" fillId="10" borderId="0" xfId="1" applyNumberFormat="1" applyFont="1" applyFill="1" applyBorder="1"/>
    <xf numFmtId="14" fontId="0" fillId="9" borderId="0" xfId="1" applyNumberFormat="1" applyFont="1" applyFill="1" applyBorder="1"/>
    <xf numFmtId="165" fontId="10" fillId="0" borderId="0" xfId="1" applyFont="1" applyFill="1" applyBorder="1" applyAlignment="1">
      <alignment horizontal="center" vertical="center"/>
    </xf>
    <xf numFmtId="14" fontId="0" fillId="0" borderId="0" xfId="1" applyNumberFormat="1" applyFont="1" applyFill="1" applyBorder="1"/>
    <xf numFmtId="16" fontId="9" fillId="0" borderId="0" xfId="0" applyNumberFormat="1" applyFont="1"/>
    <xf numFmtId="14" fontId="0" fillId="0" borderId="0" xfId="1" applyNumberFormat="1" applyFont="1" applyFill="1" applyBorder="1" applyAlignment="1">
      <alignment horizontal="center"/>
    </xf>
    <xf numFmtId="165" fontId="0" fillId="11" borderId="0" xfId="1" applyFont="1" applyFill="1" applyBorder="1"/>
    <xf numFmtId="40" fontId="0" fillId="8" borderId="0" xfId="0" applyNumberFormat="1" applyFill="1"/>
    <xf numFmtId="40" fontId="0" fillId="7" borderId="0" xfId="0" applyNumberFormat="1" applyFill="1"/>
    <xf numFmtId="0" fontId="9" fillId="0" borderId="0" xfId="0" applyFont="1" applyAlignment="1">
      <alignment horizontal="center"/>
    </xf>
    <xf numFmtId="40" fontId="0" fillId="0" borderId="0" xfId="0" applyNumberFormat="1" applyFill="1"/>
  </cellXfs>
  <cellStyles count="2">
    <cellStyle name="Moeda" xfId="1" builtinId="4"/>
    <cellStyle name="Normal" xfId="0" builtinId="0"/>
  </cellStyles>
  <dxfs count="69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numFmt numFmtId="19" formatCode="dd/mm/yyyy"/>
      <fill>
        <patternFill>
          <fgColor indexed="64"/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border outline="0">
        <top style="thin">
          <color rgb="FF99999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5795"/>
        <name val="Calibri"/>
        <family val="2"/>
        <scheme val="minor"/>
      </font>
      <fill>
        <patternFill patternType="solid">
          <fgColor rgb="FF000000"/>
          <bgColor rgb="FFF0F0F0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ill>
        <patternFill patternType="solid">
          <fgColor theme="0" tint="-4.9989318521683403E-2"/>
          <bgColor rgb="FFFBFBFB"/>
        </patternFill>
      </fill>
      <border>
        <bottom style="thin">
          <color theme="6"/>
        </bottom>
      </border>
    </dxf>
    <dxf>
      <font>
        <b/>
        <i val="0"/>
        <color auto="1"/>
      </font>
      <fill>
        <patternFill patternType="solid">
          <fgColor rgb="FFCEF86A"/>
          <bgColor rgb="FFCEF86A"/>
        </patternFill>
      </fill>
      <border>
        <bottom style="thin">
          <color theme="6" tint="0.79998168889431442"/>
        </bottom>
        <horizontal style="thin">
          <color theme="6" tint="0.39997558519241921"/>
        </horizontal>
      </border>
    </dxf>
    <dxf>
      <border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CEF86A"/>
          <bgColor rgb="FFCEF86A"/>
        </patternFill>
      </fill>
    </dxf>
    <dxf>
      <font>
        <b/>
        <color theme="0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color theme="1"/>
      </font>
      <border>
        <top style="double">
          <color theme="6" tint="-0.249977111117893"/>
        </top>
      </border>
    </dxf>
    <dxf>
      <font>
        <color theme="0"/>
      </font>
      <fill>
        <patternFill patternType="solid">
          <fgColor rgb="FF434CFF"/>
          <bgColor rgb="FF434CFF"/>
        </patternFill>
      </fill>
      <border>
        <horizontal style="thin">
          <color theme="6" tint="-0.249977111117893"/>
        </horizontal>
      </border>
    </dxf>
    <dxf>
      <font>
        <color theme="1"/>
      </font>
      <border>
        <horizontal style="thin">
          <color theme="6" tint="0.79998168889431442"/>
        </horizontal>
      </border>
    </dxf>
  </dxfs>
  <tableStyles count="1" defaultTableStyle="TableStyleMedium2" defaultPivotStyle="FullBPO2">
    <tableStyle name="FullBPO2" table="0" count="13" xr9:uid="{277CF63C-DF18-463C-9F20-AFBC94C44606}">
      <tableStyleElement type="wholeTable" dxfId="68"/>
      <tableStyleElement type="headerRow" dxfId="67"/>
      <tableStyleElement type="totalRow" dxfId="66"/>
      <tableStyleElement type="firstRowStripe" dxfId="65"/>
      <tableStyleElement type="firstColumnStripe" dxfId="64"/>
      <tableStyleElement type="firstHeaderCell" dxfId="63"/>
      <tableStyleElement type="firstSubtotalRow" dxfId="62"/>
      <tableStyleElement type="secondSubtotalRow" dxfId="61"/>
      <tableStyleElement type="firstColumnSubheading" dxfId="60"/>
      <tableStyleElement type="firstRowSubheading" dxfId="59"/>
      <tableStyleElement type="secondRowSubheading" dxfId="58"/>
      <tableStyleElement type="pageFieldLabels" dxfId="57"/>
      <tableStyleElement type="pageFieldValues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2</xdr:col>
      <xdr:colOff>1430744</xdr:colOff>
      <xdr:row>2</xdr:row>
      <xdr:rowOff>180109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F88563-DA1A-4510-8F4B-1143CA5DE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0"/>
          <a:ext cx="1373594" cy="561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2</xdr:col>
      <xdr:colOff>1430744</xdr:colOff>
      <xdr:row>2</xdr:row>
      <xdr:rowOff>180109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B1CC02-765B-4FE4-949C-F351697E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0"/>
          <a:ext cx="1373594" cy="5611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agnago" refreshedDate="46103.91078888889" createdVersion="8" refreshedVersion="8" minRefreshableVersion="3" recordCount="75" xr:uid="{65C941AD-D2C0-4B36-B4C2-9FD3342FCF94}">
  <cacheSource type="worksheet">
    <worksheetSource name="Tabela1"/>
  </cacheSource>
  <cacheFields count="19">
    <cacheField name="Data de Crédito ou Pagto (completa)" numFmtId="14">
      <sharedItems containsSemiMixedTypes="0" containsNonDate="0" containsDate="1" containsString="0" minDate="2026-02-27T00:00:00" maxDate="2026-03-19T00:00:00" count="14">
        <d v="2026-02-27T00:00:00"/>
        <d v="2026-03-01T00:00:00"/>
        <d v="2026-03-02T00:00:00"/>
        <d v="2026-03-03T00:00:00"/>
        <d v="2026-03-04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</sharedItems>
    </cacheField>
    <cacheField name="Data de Pagto ou Recbto (completa)" numFmtId="14">
      <sharedItems containsSemiMixedTypes="0" containsNonDate="0" containsDate="1" containsString="0" minDate="2026-02-27T00:00:00" maxDate="2026-03-19T00:00:00"/>
    </cacheField>
    <cacheField name="Data de Emissão (completa)" numFmtId="14">
      <sharedItems containsSemiMixedTypes="0" containsNonDate="0" containsDate="1" containsString="0" minDate="2026-02-27T00:00:00" maxDate="2026-04-11T00:00:00"/>
    </cacheField>
    <cacheField name="Data de Registro (completa)" numFmtId="14">
      <sharedItems containsSemiMixedTypes="0" containsNonDate="0" containsDate="1" containsString="0" minDate="2026-02-27T00:00:00" maxDate="2026-04-11T00:00:00"/>
    </cacheField>
    <cacheField name="Data de Previsão (completa)" numFmtId="14">
      <sharedItems containsSemiMixedTypes="0" containsNonDate="0" containsDate="1" containsString="0" minDate="2026-02-27T00:00:00" maxDate="2026-04-11T00:00:00"/>
    </cacheField>
    <cacheField name="Cliente ou Fornecedor (Nome Fantasia)" numFmtId="0">
      <sharedItems count="24">
        <s v="MARCELO DE ANGELO"/>
        <s v="REALIZE GESTAO"/>
        <s v="PNEUS BRASILIA"/>
        <s v="GUSTAVO CEZAR DE CARVALHO"/>
        <s v="KONTIK CENTRO"/>
        <s v="RADAR HOSPEDAGEM LTDA"/>
        <s v="TOKIO MARINE SEGURADORA S.A."/>
        <s v="MOVIDA PARTICIPACOES S.A."/>
        <s v="ANDRE LUCIANO DE OLIVEIRA SALGADO"/>
        <s v="RESTAURANTE"/>
        <s v="DELTAPAG SOLUCOES DE PAGAMENTO"/>
        <s v="OITO APOIO ADMINISTRATIVO E LOGISTICO"/>
        <s v="Não informado"/>
        <s v="CHARLES DE FRAGA DOMINGOS"/>
        <s v="FULLBPO"/>
        <s v="FM SOLUÇOES"/>
        <s v="ROSA MARIA SOARES DA CONCEICAO"/>
        <s v="ALCIDES BOFF TISATTO"/>
        <s v="RODRIGO ZULIAN"/>
        <s v="PREVENCAO BRASIL"/>
        <s v="NÃO IDENTIFICADO"/>
        <s v="IRMAOS SALVADOR &amp; CIA. LTDA."/>
        <s v="João Pedro da Silva Ribeiro"/>
        <s v="PREVISAO"/>
      </sharedItems>
    </cacheField>
    <cacheField name="Tipo" numFmtId="0">
      <sharedItems count="2">
        <s v="1. Contas a Receber"/>
        <s v="2. Contas a Pagar"/>
      </sharedItems>
    </cacheField>
    <cacheField name="Categoria" numFmtId="0">
      <sharedItems count="21">
        <s v="Empréstimos Bancários"/>
        <s v="Despesas de Viagens"/>
        <s v="Passagens Aéreas"/>
        <s v="Alimentação"/>
        <s v="ADMINISTRAÇAO"/>
        <s v="TRANSPORTE"/>
        <s v="Hospedagem"/>
        <s v="Pagamento de Empréstimos"/>
        <s v="Distribuição de Lucros"/>
        <s v="Tarifas Bancárias"/>
        <s v="Saída de Transferência"/>
        <s v="MAO DE OBRA"/>
        <s v="Pagamento Devolvido"/>
        <s v="Entrada de Transferência"/>
        <s v="Aluguel"/>
        <s v="FABRICA"/>
        <s v="FERRAGEM"/>
        <s v="MATERIAL"/>
        <s v="MADEIRA"/>
        <s v="Agregado"/>
        <s v="Adiantamento a Fornecedores" u="1"/>
      </sharedItems>
    </cacheField>
    <cacheField name="Valor da Conta" numFmtId="0">
      <sharedItems containsSemiMixedTypes="0" containsString="0" containsNumber="1" minValue="-300000" maxValue="213000"/>
    </cacheField>
    <cacheField name="Pago ou Recebido" numFmtId="0">
      <sharedItems containsSemiMixedTypes="0" containsString="0" containsNumber="1" minValue="-300000" maxValue="213000"/>
    </cacheField>
    <cacheField name="A Pagar ou Receber" numFmtId="0">
      <sharedItems containsSemiMixedTypes="0" containsString="0" containsNumber="1" minValue="-10000" maxValue="139833.01"/>
    </cacheField>
    <cacheField name="Conta Corrente" numFmtId="0">
      <sharedItems/>
    </cacheField>
    <cacheField name="Departamento" numFmtId="0">
      <sharedItems/>
    </cacheField>
    <cacheField name="Observação da Conta" numFmtId="0">
      <sharedItems/>
    </cacheField>
    <cacheField name="Origem" numFmtId="0">
      <sharedItems/>
    </cacheField>
    <cacheField name="NF/CF" numFmtId="0">
      <sharedItems/>
    </cacheField>
    <cacheField name="Número do Documento" numFmtId="0">
      <sharedItems/>
    </cacheField>
    <cacheField name="Tipo do Documento" numFmtId="0">
      <sharedItems/>
    </cacheField>
    <cacheField name="Conta Pai" numFmtId="0">
      <sharedItems count="8">
        <s v="1.4 Outras Entradas"/>
        <s v="2.2 Despesas de Vendas e Marketing"/>
        <s v="2.4 Despesas Administrativas"/>
        <s v="2.5 Despesas Financeiras / Bancos"/>
        <s v="2.8 Outras Despesas"/>
        <s v="99 Transferências"/>
        <s v="2.1 Despesas Diretas"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agnago" refreshedDate="46103.911266898147" createdVersion="8" refreshedVersion="8" minRefreshableVersion="3" recordCount="665" xr:uid="{C025C1E7-BE8A-4A39-92F3-A3A75C0A4E93}">
  <cacheSource type="worksheet">
    <worksheetSource name="Tabela14"/>
  </cacheSource>
  <cacheFields count="19">
    <cacheField name="Data de Crédito ou Pagto (completa)" numFmtId="0">
      <sharedItems containsNonDate="0" containsString="0" containsBlank="1"/>
    </cacheField>
    <cacheField name="Data de Pagto ou Recbto (completa)" numFmtId="0">
      <sharedItems containsNonDate="0" containsString="0" containsBlank="1"/>
    </cacheField>
    <cacheField name="Data de Emissão (completa)" numFmtId="0">
      <sharedItems containsNonDate="0" containsDate="1" containsString="0" containsBlank="1" minDate="2026-03-12T00:00:00" maxDate="2026-08-11T00:00:00"/>
    </cacheField>
    <cacheField name="Data de Registro (completa)" numFmtId="0">
      <sharedItems containsNonDate="0" containsDate="1" containsString="0" containsBlank="1" minDate="2026-03-12T00:00:00" maxDate="2026-08-11T00:00:00"/>
    </cacheField>
    <cacheField name="Data de Previsão (completa)" numFmtId="14">
      <sharedItems containsSemiMixedTypes="0" containsNonDate="0" containsDate="1" containsString="0" minDate="2025-04-27T00:00:00" maxDate="2026-09-29T00:00:00" count="98">
        <d v="2026-03-18T00:00:00"/>
        <d v="2026-04-08T00:00:00"/>
        <d v="2026-04-01T00:00:00"/>
        <d v="2026-04-17T00:00:00"/>
        <d v="2026-05-08T00:00:00"/>
        <d v="2026-05-17T00:00:00"/>
        <d v="2026-05-01T00:00:00"/>
        <d v="2026-06-08T00:00:00"/>
        <d v="2026-05-27T00:00:00"/>
        <d v="2026-06-01T00:00:00"/>
        <d v="2026-06-17T00:00:00"/>
        <d v="2026-07-08T00:00:00"/>
        <d v="2026-07-17T00:00:00"/>
        <d v="2026-07-01T00:00:00"/>
        <d v="2026-06-27T00:00:00"/>
        <d v="2026-08-17T00:00:00"/>
        <d v="2026-07-27T00:00:00"/>
        <d v="2026-04-27T00:00:00"/>
        <d v="2026-05-11T00:00:00"/>
        <d v="2026-05-25T00:00:00"/>
        <d v="2026-06-22T00:00:00"/>
        <d v="2026-07-06T00:00:00"/>
        <d v="2026-07-20T00:00:00"/>
        <d v="2026-07-31T00:00:00"/>
        <d v="2026-08-03T00:00:00"/>
        <d v="2026-06-05T00:00:00"/>
        <d v="2026-07-03T00:00:00"/>
        <d v="2026-05-12T00:00:00"/>
        <d v="2026-04-28T00:00:00"/>
        <d v="2026-06-09T00:00:00"/>
        <d v="2026-05-26T00:00:00"/>
        <d v="2026-06-23T00:00:00"/>
        <d v="2026-06-11T00:00:00"/>
        <d v="2026-07-11T00:00:00"/>
        <d v="2026-07-07T00:00:00"/>
        <d v="2026-08-11T00:00:00"/>
        <d v="2026-07-21T00:00:00"/>
        <d v="2026-06-26T00:00:00"/>
        <d v="2026-07-26T00:00:00"/>
        <d v="2026-08-04T00:00:00"/>
        <d v="2026-06-19T00:00:00"/>
        <d v="2026-03-17T00:00:00"/>
        <d v="2026-03-20T00:00:00"/>
        <d v="2026-04-05T00:00:00"/>
        <d v="2026-03-25T00:00:00"/>
        <d v="2026-05-28T00:00:00"/>
        <d v="2026-06-28T00:00:00"/>
        <d v="2026-06-12T00:00:00"/>
        <d v="2026-04-10T00:00:00"/>
        <d v="2026-04-11T00:00:00"/>
        <d v="2026-03-27T00:00:00"/>
        <d v="2026-04-20T00:00:00"/>
        <d v="2026-04-24T00:00:00"/>
        <d v="2026-05-10T00:00:00"/>
        <d v="2026-05-20T00:00:00"/>
        <d v="2026-05-22T00:00:00"/>
        <d v="2026-06-10T00:00:00"/>
        <d v="2026-07-10T00:00:00"/>
        <d v="2026-06-20T00:00:00"/>
        <d v="2026-08-10T00:00:00"/>
        <d v="2026-06-15T00:00:00"/>
        <d v="2026-04-06T00:00:00"/>
        <d v="2026-05-29T00:00:00"/>
        <d v="2026-04-21T00:00:00"/>
        <d v="2026-05-04T00:00:00"/>
        <d v="2026-05-18T00:00:00"/>
        <d v="2026-06-29T00:00:00"/>
        <d v="2026-05-06T00:00:00"/>
        <d v="2026-06-06T00:00:00"/>
        <d v="2026-06-04T00:00:00"/>
        <d v="2026-07-04T00:00:00"/>
        <d v="2026-05-21T00:00:00"/>
        <d v="2026-04-30T00:00:00"/>
        <d v="2026-06-07T00:00:00"/>
        <d v="2026-05-02T00:00:00" u="1"/>
        <d v="2026-05-03T00:00:00" u="1"/>
        <d v="2026-05-24T00:00:00" u="1"/>
        <d v="2026-06-24T00:00:00" u="1"/>
        <d v="2026-05-09T00:00:00" u="1"/>
        <d v="2026-04-26T00:00:00" u="1"/>
        <d v="2026-04-25T00:00:00" u="1"/>
        <d v="2026-05-23T00:00:00" u="1"/>
        <d v="2026-06-25T00:00:00" u="1"/>
        <d v="2025-04-27T00:00:00" u="1"/>
        <d v="2026-04-13T00:00:00" u="1"/>
        <d v="2026-03-23T00:00:00" u="1"/>
        <d v="2026-03-16T00:00:00" u="1"/>
        <d v="2026-04-07T00:00:00" u="1"/>
        <d v="2026-08-27T00:00:00" u="1"/>
        <d v="2026-09-28T00:00:00" u="1"/>
        <d v="2026-03-24T00:00:00" u="1"/>
        <d v="2026-07-09T00:00:00" u="1"/>
        <d v="2026-04-19T00:00:00" u="1"/>
        <d v="2026-05-19T00:00:00" u="1"/>
        <d v="2026-04-15T00:00:00" u="1"/>
        <d v="2026-05-15T00:00:00" u="1"/>
        <d v="2026-05-16T00:00:00" u="1"/>
        <d v="2026-04-16T00:00:00" u="1"/>
      </sharedItems>
    </cacheField>
    <cacheField name="Cliente ou Fornecedor (Nome Fantasia)" numFmtId="0">
      <sharedItems containsBlank="1" count="27">
        <s v="REALIZE GESTAO"/>
        <s v="ANDRE LUCIANO DE OLIVEIRA SALGADO"/>
        <s v="OITO APOIO ADMINISTRATIVO E LOGISTICO"/>
        <s v="FM SOLUÇOES"/>
        <s v="MARCELO DE ANGELO"/>
        <s v="PREVISAO"/>
        <s v="ROSA MARIA SOARES DA CONCEICAO"/>
        <s v="CHARLES DE FRAGA DOMINGOS"/>
        <s v="IRMAOS SALVADOR &amp; CIA. LTDA."/>
        <s v="JM FERRAGENS"/>
        <s v="HORSTMANN"/>
        <s v="GERDAU"/>
        <s v="FULLBPO"/>
        <s v="RODRIGO ZULIAN"/>
        <s v="GUSTAVO CEZAR DE CARVALHO"/>
        <s v="PREVIBRAS / LIDER"/>
        <s v="AEV GUINDASTES"/>
        <s v="GABRIEL LOGISTICA"/>
        <s v="REDEMAC"/>
        <s v="MADEREIRA LOCAL"/>
        <s v="CARTAO DE CREDITO"/>
        <s v="TILECOL"/>
        <s v="SOLDA SUL"/>
        <m u="1"/>
        <s v="PREVENCAO BRASIL" u="1"/>
        <s v="FM " u="1"/>
        <s v="OITO" u="1"/>
      </sharedItems>
    </cacheField>
    <cacheField name="Tipo" numFmtId="0">
      <sharedItems containsBlank="1" count="3">
        <s v="1. Contas a Receber"/>
        <s v="2. Contas a Pagar"/>
        <m u="1"/>
      </sharedItems>
    </cacheField>
    <cacheField name="Categoria" numFmtId="0">
      <sharedItems containsBlank="1" count="30">
        <s v="Pagamento Devolvido"/>
        <s v="Empréstimos Bancários"/>
        <s v="Pagamento de Empréstimos"/>
        <s v="Receitas"/>
        <s v="Reembolso de Despesas"/>
        <s v="REVESTIMENTO"/>
        <s v="INSUMO"/>
        <s v="MAO DE OBRA"/>
        <s v="ESQUADRIA"/>
        <s v="FERRAGEM"/>
        <s v="TINTAS"/>
        <s v="Tubos e conexoes"/>
        <s v="ELETRICO"/>
        <s v="LOUÇAS"/>
        <s v="RATEIO"/>
        <s v="MADEIRA"/>
        <s v="Agregado"/>
        <s v="LOCAÇAO"/>
        <s v="SERVIÇO"/>
        <s v="CONCRETO"/>
        <s v="METAL"/>
        <s v="BANCADA"/>
        <s v="Pre moldado"/>
        <s v="MATERIAL"/>
        <s v="ADMINISTRAÇAO"/>
        <s v="FABRICA"/>
        <s v="TRANSPORTE"/>
        <s v="IÇAMENTO"/>
        <s v="TELHAS"/>
        <m u="1"/>
      </sharedItems>
    </cacheField>
    <cacheField name="Valor da Conta" numFmtId="165">
      <sharedItems containsString="0" containsBlank="1" containsNumber="1" minValue="-280000" maxValue="1842453.54"/>
    </cacheField>
    <cacheField name="Pago ou Recebido" numFmtId="165">
      <sharedItems containsString="0" containsBlank="1" containsNumber="1" minValue="-10000" maxValue="4166.99"/>
    </cacheField>
    <cacheField name="A Pagar ou Receber" numFmtId="165">
      <sharedItems containsSemiMixedTypes="0" containsString="0" containsNumber="1" minValue="-280000" maxValue="1584686.79"/>
    </cacheField>
    <cacheField name="Conta Corrente" numFmtId="0">
      <sharedItems/>
    </cacheField>
    <cacheField name="Departamento" numFmtId="0">
      <sharedItems/>
    </cacheField>
    <cacheField name="Observação da Conta" numFmtId="0">
      <sharedItems/>
    </cacheField>
    <cacheField name="Origem" numFmtId="0">
      <sharedItems/>
    </cacheField>
    <cacheField name="NF/CF" numFmtId="0">
      <sharedItems/>
    </cacheField>
    <cacheField name="Número do Documento" numFmtId="0">
      <sharedItems/>
    </cacheField>
    <cacheField name="Tipo do Documento" numFmtId="0">
      <sharedItems/>
    </cacheField>
    <cacheField name="Conta Pai" numFmtId="0">
      <sharedItems containsBlank="1" count="8">
        <s v="99 Transferências"/>
        <s v="1.4 Outras Entradas"/>
        <s v="2.5 Despesas Financeiras / Bancos"/>
        <s v="1.1 Receitas Diretas"/>
        <s v="2.1 Despesas Diretas"/>
        <s v="2.4 Despesas Administrativas"/>
        <s v="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d v="2026-02-27T00:00:00"/>
    <d v="2026-02-27T00:00:00"/>
    <d v="2026-02-27T00:00:00"/>
    <d v="2026-02-27T00:00:00"/>
    <x v="0"/>
    <x v="0"/>
    <x v="0"/>
    <n v="200000"/>
    <n v="200000"/>
    <n v="0"/>
    <s v="BRB - Banco de Brasília"/>
    <s v="1. Adminstrativo"/>
    <s v="N/D"/>
    <s v="Recebimento de Conta a Receber"/>
    <s v="N/D"/>
    <s v="N/D"/>
    <s v="Outros"/>
    <x v="0"/>
  </r>
  <r>
    <x v="1"/>
    <d v="2026-03-01T00:00:00"/>
    <d v="2026-03-01T00:00:00"/>
    <d v="2026-03-01T00:00:00"/>
    <d v="2026-03-01T00:00:00"/>
    <x v="1"/>
    <x v="0"/>
    <x v="0"/>
    <n v="199.83"/>
    <n v="199.83"/>
    <n v="0"/>
    <s v="BRB - Banco de Brasília"/>
    <s v="1. Adminstrativo"/>
    <s v="VALOR DE SALDO QUE JUSTIFICA A TRANSF DE 213K PARA A CONTA DA CAIXA"/>
    <s v="Lançamento de Crédito"/>
    <s v="N/D"/>
    <s v="N/D"/>
    <s v="Outros"/>
    <x v="0"/>
  </r>
  <r>
    <x v="2"/>
    <d v="2026-03-02T00:00:00"/>
    <d v="2026-03-02T00:00:00"/>
    <d v="2026-03-02T00:00:00"/>
    <d v="2026-03-02T00:00:00"/>
    <x v="2"/>
    <x v="1"/>
    <x v="1"/>
    <n v="-1320"/>
    <n v="-1320"/>
    <n v="0"/>
    <s v="BRB - Banco de Brasília"/>
    <s v="3.1 MOBILIZAÇÃO"/>
    <s v="Compra de 4 pneus pro carro que está com o engenheiro residente - MOBILIZAÇÃO"/>
    <s v="Pagamento de Conta a Pagar"/>
    <s v="N/D"/>
    <s v="N/D"/>
    <s v="Outros"/>
    <x v="1"/>
  </r>
  <r>
    <x v="2"/>
    <d v="2026-03-02T00:00:00"/>
    <d v="2026-03-02T00:00:00"/>
    <d v="2026-03-02T00:00:00"/>
    <d v="2026-03-02T00:00:00"/>
    <x v="3"/>
    <x v="1"/>
    <x v="1"/>
    <n v="-1000"/>
    <n v="-1000"/>
    <n v="0"/>
    <s v="BRB - Banco de Brasília"/>
    <s v="3.1 MOBILIZAÇÃO"/>
    <s v="Despesas viagem engenheiro residente - MOBILIZAÇÃO"/>
    <s v="Pagamento de Conta a Pagar"/>
    <s v="N/D"/>
    <s v="N/D"/>
    <s v="Outros"/>
    <x v="1"/>
  </r>
  <r>
    <x v="2"/>
    <d v="2026-03-02T00:00:00"/>
    <d v="2026-03-02T00:00:00"/>
    <d v="2026-03-02T00:00:00"/>
    <d v="2026-03-02T00:00:00"/>
    <x v="0"/>
    <x v="0"/>
    <x v="0"/>
    <n v="31000"/>
    <n v="31000"/>
    <n v="0"/>
    <s v="BRB - Banco de Brasília"/>
    <s v="1. Adminstrativo"/>
    <s v="N/D"/>
    <s v="Recebimento de Conta a Receber"/>
    <s v="N/D"/>
    <s v="N/D"/>
    <s v="Outros"/>
    <x v="0"/>
  </r>
  <r>
    <x v="2"/>
    <d v="2026-03-02T00:00:00"/>
    <d v="2026-03-01T00:00:00"/>
    <d v="2026-03-01T00:00:00"/>
    <d v="2026-03-02T00:00:00"/>
    <x v="4"/>
    <x v="1"/>
    <x v="2"/>
    <n v="-7820.8"/>
    <n v="-7820.8"/>
    <n v="0"/>
    <s v="BRB - Banco de Brasília"/>
    <s v="3.1 MOBILIZAÇÃO"/>
    <s v="Passagem aérea ida e volta de André e felipe - MOBILIZAÇÃO"/>
    <s v="Pagamento de Conta a Pagar"/>
    <s v="N/D"/>
    <s v="N/D"/>
    <s v="Outros"/>
    <x v="2"/>
  </r>
  <r>
    <x v="3"/>
    <d v="2026-03-03T00:00:00"/>
    <d v="2026-03-03T00:00:00"/>
    <d v="2026-03-03T00:00:00"/>
    <d v="2026-03-03T00:00:00"/>
    <x v="5"/>
    <x v="1"/>
    <x v="3"/>
    <n v="-101.8"/>
    <n v="-101.8"/>
    <n v="0"/>
    <s v="BRB - Banco de Brasília"/>
    <s v="3.1 MOBILIZAÇÃO"/>
    <s v="Alimentação felipe e André - MOBILIZAÇÃO"/>
    <s v="Pagamento de Conta a Pagar"/>
    <s v="N/D"/>
    <s v="N/D"/>
    <s v="Outros"/>
    <x v="2"/>
  </r>
  <r>
    <x v="3"/>
    <d v="2026-03-03T00:00:00"/>
    <d v="2026-03-27T00:00:00"/>
    <d v="2026-03-27T00:00:00"/>
    <d v="2026-03-03T00:00:00"/>
    <x v="6"/>
    <x v="1"/>
    <x v="4"/>
    <n v="-15971.55"/>
    <n v="-15971.55"/>
    <n v="0"/>
    <s v="Caixinha"/>
    <s v="3.28  DESPESAS ACESSÓRIAS"/>
    <s v="Conta a Pagar importada automaticamente em 12/03/2026 às 15:03. SEGURO DO EMPRÉSTIMO ADQUIRIDO PELO MARCELO E PAGO POR ELE ABATENDO DO VALOR CREDITADO NA CONTA DA CONSTRUTORA"/>
    <s v="Pagamento de Conta a Pagar"/>
    <s v="N/D"/>
    <s v="12"/>
    <s v="Outros"/>
    <x v="2"/>
  </r>
  <r>
    <x v="3"/>
    <d v="2026-03-03T00:00:00"/>
    <d v="2026-03-16T00:00:00"/>
    <d v="2026-03-16T00:00:00"/>
    <d v="2026-03-16T00:00:00"/>
    <x v="0"/>
    <x v="0"/>
    <x v="0"/>
    <n v="15998.323665"/>
    <n v="15971.55"/>
    <n v="26.773665000000001"/>
    <s v="Caixinha"/>
    <s v="1. Adminstrativo"/>
    <s v="N/D"/>
    <s v="Recebimento de Conta a Receber"/>
    <s v="N/D"/>
    <s v="N/D"/>
    <s v="Outros"/>
    <x v="0"/>
  </r>
  <r>
    <x v="3"/>
    <d v="2026-03-03T00:00:00"/>
    <d v="2026-03-04T00:00:00"/>
    <d v="2026-03-04T00:00:00"/>
    <d v="2026-03-03T00:00:00"/>
    <x v="7"/>
    <x v="1"/>
    <x v="5"/>
    <n v="-423.09"/>
    <n v="-423.09"/>
    <n v="0"/>
    <s v="BRB - Banco de Brasília"/>
    <s v="3.1 MOBILIZAÇÃO"/>
    <s v="Aluguel carro felipe e André - MOBILIZAÇÃO"/>
    <s v="Pagamento de Conta a Pagar"/>
    <s v="N/D"/>
    <s v="N/D"/>
    <s v="Outros"/>
    <x v="2"/>
  </r>
  <r>
    <x v="3"/>
    <d v="2026-03-03T00:00:00"/>
    <d v="2026-03-13T00:00:00"/>
    <d v="2026-03-13T00:00:00"/>
    <d v="2026-03-03T00:00:00"/>
    <x v="5"/>
    <x v="1"/>
    <x v="6"/>
    <n v="-400"/>
    <n v="-400"/>
    <n v="0"/>
    <s v="BRB - Banco de Brasília"/>
    <s v="3.1 MOBILIZAÇÃO"/>
    <s v="Hospedagem André e felipe - MOBILIZAÇÃO"/>
    <s v="Pagamento de Conta a Pagar"/>
    <s v="N/D"/>
    <s v="N/D"/>
    <s v="Outros"/>
    <x v="2"/>
  </r>
  <r>
    <x v="3"/>
    <d v="2026-03-03T00:00:00"/>
    <d v="2026-03-03T00:00:00"/>
    <d v="2026-03-03T00:00:00"/>
    <d v="2026-03-03T00:00:00"/>
    <x v="8"/>
    <x v="1"/>
    <x v="5"/>
    <n v="-1000"/>
    <n v="-1000"/>
    <n v="0"/>
    <s v="BRB - Banco de Brasília"/>
    <s v="3.1 MOBILIZAÇÃO"/>
    <s v="Caução aluguel veículo - MOBILIZAÇÃO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18"/>
    <n v="-18"/>
    <n v="0"/>
    <s v="BRB - Banco de Brasília"/>
    <s v="3.1 MOBILIZAÇÃO"/>
    <s v="Alimentação - MOBILIZAÇÃO - PARRILLA AMO COMERCIO DE ALIMENTOS LTD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24"/>
    <n v="-24"/>
    <n v="0"/>
    <s v="BRB - Banco de Brasília"/>
    <s v="3.1 MOBILIZAÇÃO"/>
    <s v="Alimentação - MOBILIZAÇÃO - ALFA COMERCIO DE COMBUSTIVEIS LTD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8"/>
    <x v="1"/>
    <x v="7"/>
    <n v="-4100"/>
    <n v="-4100"/>
    <n v="0"/>
    <s v="BRB - Banco de Brasília"/>
    <s v="1. Adminstrativo"/>
    <s v="Empréstimo dessa operação para outra operação do André.  colocar devolução para dia 17 de março"/>
    <s v="Pagamento de Conta a Pagar"/>
    <s v="N/D"/>
    <s v="N/D"/>
    <s v="Outros"/>
    <x v="3"/>
  </r>
  <r>
    <x v="4"/>
    <d v="2026-03-04T00:00:00"/>
    <d v="2026-03-04T00:00:00"/>
    <d v="2026-03-04T00:00:00"/>
    <d v="2026-03-04T00:00:00"/>
    <x v="9"/>
    <x v="1"/>
    <x v="3"/>
    <n v="-66.69"/>
    <n v="-66.69"/>
    <n v="0"/>
    <s v="BRB - Banco de Brasília"/>
    <s v="1. Adminstrativo"/>
    <s v="DOCE CAFE COMERCIO DE ALIMENTOS LTDA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10"/>
    <x v="1"/>
    <x v="3"/>
    <n v="-229"/>
    <n v="-229"/>
    <n v="0"/>
    <s v="BRB - Banco de Brasília"/>
    <s v="3.1 MOBILIZAÇÃO"/>
    <s v="Jantar com parceiro - MOBILIZAÇÃO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59.7"/>
    <n v="-59.7"/>
    <n v="0"/>
    <s v="BRB - Banco de Brasília"/>
    <s v="3.1 MOBILIZAÇÃO"/>
    <s v="Alimentação - MOBILIZAÇÃO -ALFA COMERCIO DE COMBUSTIVEIS LTDA"/>
    <s v="Pagamento de Conta a Pagar"/>
    <s v="N/D"/>
    <s v="N/D"/>
    <s v="Outros"/>
    <x v="2"/>
  </r>
  <r>
    <x v="5"/>
    <d v="2026-03-06T00:00:00"/>
    <d v="2026-03-06T00:00:00"/>
    <d v="2026-03-06T00:00:00"/>
    <d v="2026-03-06T00:00:00"/>
    <x v="8"/>
    <x v="1"/>
    <x v="8"/>
    <n v="-85.75"/>
    <n v="-85.75"/>
    <n v="0"/>
    <s v="BRB - Banco de Brasília"/>
    <s v="1. Adminstrativo"/>
    <s v="Adiantamento de lucro para André"/>
    <s v="Pagamento de Conta a Pagar"/>
    <s v="N/D"/>
    <s v="N/D"/>
    <s v="Outros"/>
    <x v="4"/>
  </r>
  <r>
    <x v="5"/>
    <d v="2026-03-06T00:00:00"/>
    <d v="2026-03-06T00:00:00"/>
    <d v="2026-03-06T00:00:00"/>
    <d v="2026-03-06T00:00:00"/>
    <x v="5"/>
    <x v="1"/>
    <x v="6"/>
    <n v="-1460"/>
    <n v="-1460"/>
    <n v="0"/>
    <s v="BRB - Banco de Brasília"/>
    <s v="3.1 MOBILIZAÇÃO"/>
    <s v="Hospedagem - MOBILIZAÇÃO"/>
    <s v="Pagamento de Conta a Pagar"/>
    <s v="N/D"/>
    <s v="N/D"/>
    <s v="Outros"/>
    <x v="2"/>
  </r>
  <r>
    <x v="5"/>
    <d v="2026-03-06T00:00:00"/>
    <d v="2026-03-06T00:00:00"/>
    <d v="2026-03-06T00:00:00"/>
    <d v="2026-03-06T00:00:00"/>
    <x v="9"/>
    <x v="1"/>
    <x v="3"/>
    <n v="-91"/>
    <n v="-91"/>
    <n v="0"/>
    <s v="BRB - Banco de Brasília"/>
    <s v="3.1 MOBILIZAÇÃO"/>
    <s v="QC SALGADO FILHO 2 LTDA"/>
    <s v="Pagamento de Conta a Pagar"/>
    <s v="N/D"/>
    <s v="N/D"/>
    <s v="Outros"/>
    <x v="2"/>
  </r>
  <r>
    <x v="6"/>
    <d v="2026-03-09T00:00:00"/>
    <d v="2026-03-09T00:00:00"/>
    <d v="2026-03-09T00:00:00"/>
    <d v="2026-03-09T00:00:00"/>
    <x v="11"/>
    <x v="1"/>
    <x v="9"/>
    <n v="-1"/>
    <n v="-1"/>
    <n v="0"/>
    <s v="Caixa Econômica Federal"/>
    <s v="1. Adminstrativo"/>
    <s v="DEB PIX CHAVE"/>
    <s v="Lançamento de Débito"/>
    <s v="N/D"/>
    <s v="091548"/>
    <s v="Outros"/>
    <x v="3"/>
  </r>
  <r>
    <x v="6"/>
    <d v="2026-03-09T00:00:00"/>
    <d v="2026-03-09T00:00:00"/>
    <d v="2026-03-09T00:00:00"/>
    <d v="2026-03-09T00:00:00"/>
    <x v="12"/>
    <x v="1"/>
    <x v="9"/>
    <n v="-0.8"/>
    <n v="-0.8"/>
    <n v="0"/>
    <s v="Caixa Econômica Federal"/>
    <s v="1. Adminstrativo"/>
    <s v="TAR PIX"/>
    <s v="Lançamento de Débito"/>
    <s v="N/D"/>
    <s v="091554"/>
    <s v="Outros"/>
    <x v="3"/>
  </r>
  <r>
    <x v="6"/>
    <d v="2026-03-09T00:00:00"/>
    <d v="2026-03-09T00:00:00"/>
    <d v="2026-03-09T00:00:00"/>
    <d v="2026-03-09T00:00:00"/>
    <x v="1"/>
    <x v="0"/>
    <x v="0"/>
    <n v="100"/>
    <n v="100"/>
    <n v="0"/>
    <s v="Caixa Econômica Federal"/>
    <s v="1. Adminstrativo"/>
    <s v="Gerado automaticamente pela importação do extrato. PIX RECEBIDO"/>
    <s v="Recebimento de Conta a Receber"/>
    <s v="N/D"/>
    <s v="091531"/>
    <s v="Outros"/>
    <x v="0"/>
  </r>
  <r>
    <x v="6"/>
    <d v="2026-03-09T00:00:00"/>
    <d v="2026-03-09T00:00:00"/>
    <d v="2026-03-09T00:00:00"/>
    <d v="2026-03-09T00:00:00"/>
    <x v="12"/>
    <x v="1"/>
    <x v="9"/>
    <n v="-8.1999999999999993"/>
    <n v="-8.1999999999999993"/>
    <n v="0"/>
    <s v="Caixa Econômica Federal"/>
    <s v="1. Adminstrativo"/>
    <s v="TARIFA MANUTENCAO CONTA A"/>
    <s v="Lançamento de Débito"/>
    <s v="N/D"/>
    <s v="000000"/>
    <s v="Outros"/>
    <x v="3"/>
  </r>
  <r>
    <x v="6"/>
    <d v="2026-03-09T00:00:00"/>
    <d v="2026-03-09T00:00:00"/>
    <d v="2026-03-09T00:00:00"/>
    <d v="2026-03-09T00:00:00"/>
    <x v="1"/>
    <x v="1"/>
    <x v="7"/>
    <n v="-90"/>
    <n v="-90"/>
    <n v="0"/>
    <s v="Caixa Econômica Federal"/>
    <s v="1. Adminstrativo"/>
    <s v="Gerado automaticamente pela importação do extrato. DEB PIX CHAVE"/>
    <s v="Pagamento de Conta a Pagar"/>
    <s v="N/D"/>
    <s v="091554"/>
    <s v="Outros"/>
    <x v="3"/>
  </r>
  <r>
    <x v="7"/>
    <d v="2026-03-10T00:00:00"/>
    <d v="2026-03-10T00:00:00"/>
    <d v="2026-03-10T00:00:00"/>
    <d v="2026-03-10T00:00:00"/>
    <x v="12"/>
    <x v="1"/>
    <x v="10"/>
    <n v="-213000"/>
    <n v="-213000"/>
    <n v="0"/>
    <s v="BRB - Banco de Brasília"/>
    <s v="N/D"/>
    <s v="PIX RECEBIDO"/>
    <s v="Débito de Transferência entre Contas Correntes"/>
    <s v="N/D"/>
    <s v="100948"/>
    <s v="Outros"/>
    <x v="5"/>
  </r>
  <r>
    <x v="7"/>
    <d v="2026-03-10T00:00:00"/>
    <d v="2026-03-10T00:00:00"/>
    <d v="2026-03-10T00:00:00"/>
    <d v="2026-03-10T00:00:00"/>
    <x v="12"/>
    <x v="1"/>
    <x v="9"/>
    <n v="-8.5"/>
    <n v="-8.5"/>
    <n v="0"/>
    <s v="Caixa Econômica Federal"/>
    <s v="1. Adminstrativo"/>
    <s v="TAR PIX"/>
    <s v="Lançamento de Débito"/>
    <s v="N/D"/>
    <s v="101845"/>
    <s v="Outros"/>
    <x v="3"/>
  </r>
  <r>
    <x v="7"/>
    <d v="2026-03-10T00:00:00"/>
    <d v="2026-03-10T00:00:00"/>
    <d v="2026-03-10T00:00:00"/>
    <d v="2026-03-10T00:00:00"/>
    <x v="13"/>
    <x v="1"/>
    <x v="11"/>
    <n v="-5000"/>
    <n v="-5000"/>
    <n v="0"/>
    <s v="Caixa Econômica Federal"/>
    <s v="3.2 RADIER"/>
    <s v="Gerado automaticamente pela importação do extrato. DEB PIX CHAVE - Mao de obra Terceirizada Radier"/>
    <s v="Pagamento de Conta a Pagar"/>
    <s v="N/D"/>
    <s v="101344"/>
    <s v="Outros"/>
    <x v="6"/>
  </r>
  <r>
    <x v="7"/>
    <d v="2026-03-10T00:00:00"/>
    <d v="2026-03-10T00:00:00"/>
    <d v="2026-03-10T00:00:00"/>
    <d v="2026-03-10T00:00:00"/>
    <x v="11"/>
    <x v="0"/>
    <x v="0"/>
    <n v="100000"/>
    <n v="100000"/>
    <n v="0"/>
    <s v="Caixa Econômica Federal"/>
    <s v="1. Adminstrativo"/>
    <s v="Gerado automaticamente pela importação do extrato. PIX RECEBIDO"/>
    <s v="Recebimento de Conta a Receber"/>
    <s v="N/D"/>
    <s v="101658"/>
    <s v="Outros"/>
    <x v="0"/>
  </r>
  <r>
    <x v="7"/>
    <d v="2026-03-10T00:00:00"/>
    <d v="2026-03-10T00:00:00"/>
    <d v="2026-03-10T00:00:00"/>
    <d v="2026-03-10T00:00:00"/>
    <x v="12"/>
    <x v="1"/>
    <x v="9"/>
    <n v="-60.8"/>
    <n v="-60.8"/>
    <n v="0"/>
    <s v="Caixa Econômica Federal"/>
    <s v="1. Adminstrativo"/>
    <s v="TARIFA MANUTENCAO CONTA A"/>
    <s v="Lançamento de Débito"/>
    <s v="N/D"/>
    <s v="000000"/>
    <s v="Outros"/>
    <x v="3"/>
  </r>
  <r>
    <x v="7"/>
    <d v="2026-03-10T00:00:00"/>
    <d v="2026-03-10T00:00:00"/>
    <d v="2026-03-10T00:00:00"/>
    <d v="2026-03-10T00:00:00"/>
    <x v="12"/>
    <x v="1"/>
    <x v="9"/>
    <n v="-8.5"/>
    <n v="-8.5"/>
    <n v="0"/>
    <s v="Caixa Econômica Federal"/>
    <s v="1. Adminstrativo"/>
    <s v="TAR PIX"/>
    <s v="Lançamento de Débito"/>
    <s v="N/D"/>
    <s v="101344"/>
    <s v="Outros"/>
    <x v="3"/>
  </r>
  <r>
    <x v="7"/>
    <d v="2026-03-10T00:00:00"/>
    <d v="2026-03-16T00:00:00"/>
    <d v="2026-03-16T00:00:00"/>
    <d v="2026-03-18T00:00:00"/>
    <x v="1"/>
    <x v="0"/>
    <x v="12"/>
    <n v="144000"/>
    <n v="4166.99"/>
    <n v="139833.01"/>
    <s v="Caixa Econômica Federal"/>
    <s v="1. Adminstrativo"/>
    <s v="devolução valor transferido para outra conta"/>
    <s v="Recebimento de Conta a Receber"/>
    <s v="N/D"/>
    <s v="N/D"/>
    <s v="Outros"/>
    <x v="5"/>
  </r>
  <r>
    <x v="7"/>
    <d v="2026-03-10T00:00:00"/>
    <d v="2026-03-10T00:00:00"/>
    <d v="2026-03-10T00:00:00"/>
    <d v="2026-03-10T00:00:00"/>
    <x v="1"/>
    <x v="1"/>
    <x v="12"/>
    <n v="-2595.6"/>
    <n v="-2595.6"/>
    <n v="0"/>
    <s v="Caixa Econômica Federal"/>
    <s v="1. Adminstrativo"/>
    <s v="Gerado automaticamente pela importação do extrato. CONSORCIO - DESPESA DE OUTRO PROJETO QUE TEM QUE VOLTAR"/>
    <s v="Pagamento de Conta a Pagar"/>
    <s v="N/D"/>
    <s v="374751"/>
    <s v="Outros"/>
    <x v="5"/>
  </r>
  <r>
    <x v="7"/>
    <d v="2026-03-10T00:00:00"/>
    <d v="2026-03-10T00:00:00"/>
    <d v="2026-03-10T00:00:00"/>
    <d v="2026-03-10T00:00:00"/>
    <x v="1"/>
    <x v="1"/>
    <x v="12"/>
    <n v="-144000"/>
    <n v="-144000"/>
    <n v="0"/>
    <s v="Caixa Econômica Federal"/>
    <s v="1. Adminstrativo"/>
    <s v="Gerado automaticamente pela importação do extrato. DEB PIX CHAVE"/>
    <s v="Pagamento de Conta a Pagar"/>
    <s v="N/D"/>
    <s v="101845"/>
    <s v="Outros"/>
    <x v="5"/>
  </r>
  <r>
    <x v="7"/>
    <d v="2026-03-10T00:00:00"/>
    <d v="2026-03-10T00:00:00"/>
    <d v="2026-03-10T00:00:00"/>
    <d v="2026-03-10T00:00:00"/>
    <x v="12"/>
    <x v="0"/>
    <x v="13"/>
    <n v="213000"/>
    <n v="213000"/>
    <n v="0"/>
    <s v="Caixa Econômica Federal"/>
    <s v="N/D"/>
    <s v="PIX RECEBIDO"/>
    <s v="Crédito de Transferência entre Contas Correntes"/>
    <s v="N/D"/>
    <s v="100948"/>
    <s v="Outros"/>
    <x v="5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628"/>
    <s v="Outros"/>
    <x v="3"/>
  </r>
  <r>
    <x v="8"/>
    <d v="2026-03-11T00:00:00"/>
    <d v="2026-03-11T00:00:00"/>
    <d v="2026-03-11T00:00:00"/>
    <d v="2026-03-11T00:00:00"/>
    <x v="12"/>
    <x v="1"/>
    <x v="9"/>
    <n v="-4.62"/>
    <n v="-4.62"/>
    <n v="0"/>
    <s v="Caixa Econômica Federal"/>
    <s v="1. Adminstrativo"/>
    <s v="TAR PIX"/>
    <s v="Lançamento de Débito"/>
    <s v="N/D"/>
    <s v="111626"/>
    <s v="Outros"/>
    <x v="3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612"/>
    <s v="Outros"/>
    <x v="3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547"/>
    <s v="Outros"/>
    <x v="3"/>
  </r>
  <r>
    <x v="8"/>
    <d v="2026-03-11T00:00:00"/>
    <d v="2026-03-11T00:00:00"/>
    <d v="2026-03-11T00:00:00"/>
    <d v="2026-03-11T00:00:00"/>
    <x v="11"/>
    <x v="0"/>
    <x v="0"/>
    <n v="80000"/>
    <n v="80000"/>
    <n v="0"/>
    <s v="Caixa Econômica Federal"/>
    <s v="1. Adminstrativo"/>
    <s v="Gerado automaticamente pela importação do extrato. PIX RECEBIDO"/>
    <s v="Recebimento de Conta a Receber"/>
    <s v="N/D"/>
    <s v="110921"/>
    <s v="Outros"/>
    <x v="0"/>
  </r>
  <r>
    <x v="8"/>
    <d v="2026-03-11T00:00:00"/>
    <d v="2026-03-11T00:00:00"/>
    <d v="2026-03-11T00:00:00"/>
    <d v="2026-03-11T00:00:00"/>
    <x v="14"/>
    <x v="1"/>
    <x v="4"/>
    <n v="-2000"/>
    <n v="-2000"/>
    <n v="0"/>
    <s v="Caixa Econômica Federal"/>
    <s v="3.27  GESTÃO LOCAL"/>
    <s v="Gerado automaticamente pela importação do extrato. DEB PIX CHAVE - FINANCEIRO"/>
    <s v="Pagamento de Conta a Pagar"/>
    <s v="N/D"/>
    <s v="111547"/>
    <s v="Outros"/>
    <x v="2"/>
  </r>
  <r>
    <x v="8"/>
    <d v="2026-03-11T00:00:00"/>
    <d v="2026-03-11T00:00:00"/>
    <d v="2026-03-11T00:00:00"/>
    <d v="2026-03-11T00:00:00"/>
    <x v="15"/>
    <x v="0"/>
    <x v="0"/>
    <n v="100000"/>
    <n v="100000"/>
    <n v="0"/>
    <s v="Caixa Econômica Federal"/>
    <s v="1. Adminstrativo"/>
    <s v="Gerado automaticamente pela importação do extrato. PIX RECEBIDO"/>
    <s v="Recebimento de Conta a Receber"/>
    <s v="N/D"/>
    <s v="111601"/>
    <s v="Outros"/>
    <x v="0"/>
  </r>
  <r>
    <x v="8"/>
    <d v="2026-03-11T00:00:00"/>
    <d v="2026-03-11T00:00:00"/>
    <d v="2026-03-11T00:00:00"/>
    <d v="2026-03-11T00:00:00"/>
    <x v="16"/>
    <x v="1"/>
    <x v="6"/>
    <n v="-520"/>
    <n v="-520"/>
    <n v="0"/>
    <s v="Caixa Econômica Federal"/>
    <s v="3.1 MOBILIZAÇÃO"/>
    <s v="Gerado automaticamente pela importação do extrato. DEB PIX CHAVE - ESTADIA DOS PRIMEIROS DIAS DO ENGENHEIRO - HOSPEDAGEM"/>
    <s v="Pagamento de Conta a Pagar"/>
    <s v="N/D"/>
    <s v="111626"/>
    <s v="Outros"/>
    <x v="2"/>
  </r>
  <r>
    <x v="8"/>
    <d v="2026-03-11T00:00:00"/>
    <d v="2026-03-11T00:00:00"/>
    <d v="2026-03-11T00:00:00"/>
    <d v="2026-03-11T00:00:00"/>
    <x v="17"/>
    <x v="1"/>
    <x v="11"/>
    <n v="-1600"/>
    <n v="-1600"/>
    <n v="0"/>
    <s v="Caixa Econômica Federal"/>
    <s v="3.2 RADIER"/>
    <s v="Gerado automaticamente pela importação do extrato. DEB PIX CHAVE - ESTADIA EQUIPE RADIER - ADIANTAMENTO MAO DE OBRA RADIER"/>
    <s v="Pagamento de Conta a Pagar"/>
    <s v="N/D"/>
    <s v="111628"/>
    <s v="Outros"/>
    <x v="6"/>
  </r>
  <r>
    <x v="8"/>
    <d v="2026-03-11T00:00:00"/>
    <d v="2026-03-11T00:00:00"/>
    <d v="2026-03-11T00:00:00"/>
    <d v="2026-03-11T00:00:00"/>
    <x v="16"/>
    <x v="1"/>
    <x v="14"/>
    <n v="-3000"/>
    <n v="-3000"/>
    <n v="0"/>
    <s v="Caixa Econômica Federal"/>
    <s v="3 . Operação"/>
    <s v="Gerado automaticamente pela importação do extrato. DEB PIX CHAVE - ALUGUEL MORADIA GUSTAVO - ENGENHARIA 1K CAUÇÃO E 2K DE ALUGUEL"/>
    <s v="Pagamento de Conta a Pagar"/>
    <s v="N/D"/>
    <s v="111612"/>
    <s v="Outros"/>
    <x v="2"/>
  </r>
  <r>
    <x v="9"/>
    <d v="2026-03-12T00:00:00"/>
    <d v="2026-03-12T00:00:00"/>
    <d v="2026-03-12T00:00:00"/>
    <d v="2026-03-12T00:00:00"/>
    <x v="12"/>
    <x v="1"/>
    <x v="9"/>
    <n v="-8.5"/>
    <n v="-8.5"/>
    <n v="0"/>
    <s v="Caixa Econômica Federal"/>
    <s v="1. Adminstrativo"/>
    <s v="TAR PIX"/>
    <s v="Lançamento de Débito"/>
    <s v="N/D"/>
    <s v="121627"/>
    <s v="Outros"/>
    <x v="3"/>
  </r>
  <r>
    <x v="9"/>
    <d v="2026-03-12T00:00:00"/>
    <d v="2026-03-12T00:00:00"/>
    <d v="2026-03-12T00:00:00"/>
    <d v="2026-03-12T00:00:00"/>
    <x v="12"/>
    <x v="1"/>
    <x v="9"/>
    <n v="-8.5"/>
    <n v="-8.5"/>
    <n v="0"/>
    <s v="Caixa Econômica Federal"/>
    <s v="1. Adminstrativo"/>
    <s v="TAR PIX"/>
    <s v="Lançamento de Débito"/>
    <s v="N/D"/>
    <s v="121503"/>
    <s v="Outros"/>
    <x v="3"/>
  </r>
  <r>
    <x v="9"/>
    <d v="2026-03-12T00:00:00"/>
    <d v="2026-03-27T00:00:00"/>
    <d v="2026-03-27T00:00:00"/>
    <d v="2026-03-12T00:00:00"/>
    <x v="18"/>
    <x v="1"/>
    <x v="4"/>
    <n v="-3250"/>
    <n v="-3250"/>
    <n v="0"/>
    <s v="Caixa Econômica Federal"/>
    <s v="3.27  GESTÃO LOCAL"/>
    <s v="Conta a Pagar importada automaticamente em 12/03/2026 às 15:03. TOPOGRAFO"/>
    <s v="Pagamento de Conta a Pagar"/>
    <s v="N/D"/>
    <s v="11"/>
    <s v="Outros"/>
    <x v="2"/>
  </r>
  <r>
    <x v="9"/>
    <d v="2026-03-12T00:00:00"/>
    <d v="2026-03-27T00:00:00"/>
    <d v="2026-03-27T00:00:00"/>
    <d v="2026-03-12T00:00:00"/>
    <x v="19"/>
    <x v="1"/>
    <x v="15"/>
    <n v="-300000"/>
    <n v="-300000"/>
    <n v="0"/>
    <s v="Caixa Econômica Federal"/>
    <s v="3.3 PAREDES COM CONCRETO"/>
    <s v="Conta a Pagar importada automaticamente em 12/03/2026 às 15:03. contrato industrializaçao paredes"/>
    <s v="Pagamento de Conta a Pagar"/>
    <s v="N/D"/>
    <s v="7"/>
    <s v="Outros"/>
    <x v="6"/>
  </r>
  <r>
    <x v="9"/>
    <d v="2026-03-12T00:00:00"/>
    <d v="2026-03-12T00:00:00"/>
    <d v="2026-03-12T00:00:00"/>
    <d v="2026-03-12T00:00:00"/>
    <x v="20"/>
    <x v="1"/>
    <x v="4"/>
    <n v="-110.7"/>
    <n v="-110.7"/>
    <n v="0"/>
    <s v="Caixa Econômica Federal"/>
    <s v="3.27  GESTÃO LOCAL"/>
    <s v="Gerado automaticamente pela importação do extrato. PIX ENVIADO - EMISSÃO DE CERTIDÃO - DESPESA ADM"/>
    <s v="Pagamento de Conta a Pagar"/>
    <s v="N/D"/>
    <s v="121026"/>
    <s v="Outros"/>
    <x v="2"/>
  </r>
  <r>
    <x v="10"/>
    <d v="2026-03-13T00:00:00"/>
    <d v="2026-03-13T00:00:00"/>
    <d v="2026-03-13T00:00:00"/>
    <d v="2026-03-13T00:00:00"/>
    <x v="11"/>
    <x v="1"/>
    <x v="9"/>
    <n v="-1"/>
    <n v="-1"/>
    <n v="0"/>
    <s v="Caixa Econômica Federal"/>
    <s v="1. Adminstrativo"/>
    <s v="DEB PIX CHAVE"/>
    <s v="Lançamento de Débito"/>
    <s v="N/D"/>
    <s v="131526"/>
    <s v="Outros"/>
    <x v="3"/>
  </r>
  <r>
    <x v="10"/>
    <d v="2026-03-13T00:00:00"/>
    <d v="2026-03-13T00:00:00"/>
    <d v="2026-03-13T00:00:00"/>
    <d v="2026-03-13T00:00:00"/>
    <x v="12"/>
    <x v="1"/>
    <x v="9"/>
    <n v="-1.29"/>
    <n v="-1.29"/>
    <n v="0"/>
    <s v="Caixa Econômica Federal"/>
    <s v="1. Adminstrativo"/>
    <s v="TAR PIX"/>
    <s v="Lançamento de Débito"/>
    <s v="N/D"/>
    <s v="131346"/>
    <s v="Outros"/>
    <x v="3"/>
  </r>
  <r>
    <x v="10"/>
    <d v="2026-03-13T00:00:00"/>
    <d v="2026-04-10T00:00:00"/>
    <d v="2026-04-10T00:00:00"/>
    <d v="2026-04-10T00:00:00"/>
    <x v="3"/>
    <x v="1"/>
    <x v="4"/>
    <n v="-15000"/>
    <n v="-5000"/>
    <n v="-10000"/>
    <s v="Caixa Econômica Federal"/>
    <s v="3.27  GESTÃO LOCAL"/>
    <s v="Conta a Pagar importada automaticamente em 12/03/2026 às 15:09. ENGENHEIRO RESIDENTE  - carro e gasolina inclusos"/>
    <s v="Pagamento de Conta a Pagar"/>
    <s v="N/D"/>
    <s v="N/D"/>
    <s v="Outros"/>
    <x v="2"/>
  </r>
  <r>
    <x v="10"/>
    <d v="2026-03-13T00:00:00"/>
    <d v="2026-03-16T00:00:00"/>
    <d v="2026-03-16T00:00:00"/>
    <d v="2026-03-13T00:00:00"/>
    <x v="21"/>
    <x v="1"/>
    <x v="16"/>
    <n v="-145.75"/>
    <n v="-145.75"/>
    <n v="0"/>
    <s v="Caixa Econômica Federal"/>
    <s v="3.2 RADIER"/>
    <s v="Prego 17 x 27 cabeça dupla"/>
    <s v="Pagamento de Conta a Pagar"/>
    <s v="N/D"/>
    <s v="N/D"/>
    <s v="Outros"/>
    <x v="6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0916"/>
    <s v="Outros"/>
    <x v="3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0915"/>
    <s v="Outros"/>
    <x v="3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1515"/>
    <s v="Outros"/>
    <x v="3"/>
  </r>
  <r>
    <x v="10"/>
    <d v="2026-03-13T00:00:00"/>
    <d v="2026-03-13T00:00:00"/>
    <d v="2026-03-13T00:00:00"/>
    <d v="2026-03-13T00:00:00"/>
    <x v="21"/>
    <x v="1"/>
    <x v="11"/>
    <n v="-3676"/>
    <n v="-3676"/>
    <n v="0"/>
    <s v="Caixa Econômica Federal"/>
    <s v="3.2 RADIER"/>
    <s v="Gerado automaticamente pela importação do extrato. DEB PIX CHAVE - ADIANTAMENTO MÃO DE OBRA RADIER"/>
    <s v="Pagamento de Conta a Pagar"/>
    <s v="N/D"/>
    <s v="130915"/>
    <s v="Outros"/>
    <x v="6"/>
  </r>
  <r>
    <x v="10"/>
    <d v="2026-03-13T00:00:00"/>
    <d v="2026-03-13T00:00:00"/>
    <d v="2026-03-13T00:00:00"/>
    <d v="2026-03-13T00:00:00"/>
    <x v="22"/>
    <x v="1"/>
    <x v="17"/>
    <n v="-1700"/>
    <n v="-1700"/>
    <n v="0"/>
    <s v="Caixa Econômica Federal"/>
    <s v="3.27  GESTÃO LOCAL"/>
    <s v="Gerado automaticamente pela importação do extrato. DEB PIX CHAVE"/>
    <s v="Pagamento de Conta a Pagar"/>
    <s v="N/D"/>
    <s v="131515"/>
    <s v="Outros"/>
    <x v="6"/>
  </r>
  <r>
    <x v="11"/>
    <d v="2026-03-16T00:00:00"/>
    <d v="2026-03-16T00:00:00"/>
    <d v="2026-03-16T00:00:00"/>
    <d v="2026-03-16T00:00:00"/>
    <x v="12"/>
    <x v="1"/>
    <x v="9"/>
    <n v="-8.5"/>
    <n v="-8.5"/>
    <n v="0"/>
    <s v="Caixa Econômica Federal"/>
    <s v="1. Adminstrativo"/>
    <s v="TAR PIX"/>
    <s v="Lançamento de Débito"/>
    <s v="N/D"/>
    <s v="140848"/>
    <s v="Outros"/>
    <x v="3"/>
  </r>
  <r>
    <x v="11"/>
    <d v="2026-03-16T00:00:00"/>
    <d v="2026-03-16T00:00:00"/>
    <d v="2026-03-16T00:00:00"/>
    <d v="2026-03-16T00:00:00"/>
    <x v="12"/>
    <x v="1"/>
    <x v="9"/>
    <n v="-8.5"/>
    <n v="-8.5"/>
    <n v="0"/>
    <s v="Caixa Econômica Federal"/>
    <s v="1. Adminstrativo"/>
    <s v="TAR PIX"/>
    <s v="Lançamento de Débito"/>
    <s v="N/D"/>
    <s v="161541"/>
    <s v="Outros"/>
    <x v="3"/>
  </r>
  <r>
    <x v="11"/>
    <d v="2026-03-16T00:00:00"/>
    <d v="2026-03-12T00:00:00"/>
    <d v="2026-03-12T00:00:00"/>
    <d v="2026-03-16T00:00:00"/>
    <x v="0"/>
    <x v="0"/>
    <x v="0"/>
    <n v="20000"/>
    <n v="20000"/>
    <n v="0"/>
    <s v="Caixa Econômica Federal"/>
    <s v="3 . Operação"/>
    <s v="N/D"/>
    <s v="Recebimento de Conta a Receber"/>
    <s v="N/D"/>
    <s v="N/D"/>
    <s v="Outros"/>
    <x v="0"/>
  </r>
  <r>
    <x v="11"/>
    <d v="2026-03-16T00:00:00"/>
    <d v="2026-03-16T00:00:00"/>
    <d v="2026-03-16T00:00:00"/>
    <d v="2026-03-16T00:00:00"/>
    <x v="0"/>
    <x v="0"/>
    <x v="0"/>
    <n v="1001.676335"/>
    <n v="1000"/>
    <n v="1.6763349999999999"/>
    <s v="Caixa Econômica Federal"/>
    <s v="1. Adminstrativo"/>
    <s v="N/D"/>
    <s v="Recebimento de Conta a Receber"/>
    <s v="N/D"/>
    <s v="N/D"/>
    <s v="Outros"/>
    <x v="0"/>
  </r>
  <r>
    <x v="11"/>
    <d v="2026-03-16T00:00:00"/>
    <d v="2026-03-27T00:00:00"/>
    <d v="2026-03-27T00:00:00"/>
    <d v="2026-03-16T00:00:00"/>
    <x v="23"/>
    <x v="1"/>
    <x v="4"/>
    <n v="-64000"/>
    <n v="-64000"/>
    <n v="0"/>
    <s v="Caixa Econômica Federal"/>
    <s v="3.28  DESPESAS ACESSÓRIAS"/>
    <s v="CAUÇÃO"/>
    <s v="Pagamento de Conta a Pagar"/>
    <s v="N/D"/>
    <s v="13"/>
    <s v="Outros"/>
    <x v="2"/>
  </r>
  <r>
    <x v="11"/>
    <d v="2026-03-16T00:00:00"/>
    <d v="2026-03-16T00:00:00"/>
    <d v="2026-03-16T00:00:00"/>
    <d v="2026-03-16T00:00:00"/>
    <x v="0"/>
    <x v="0"/>
    <x v="0"/>
    <n v="141765"/>
    <n v="141765"/>
    <n v="0"/>
    <s v="Caixa Econômica Federal"/>
    <s v="1. Adminstrativo"/>
    <s v="prev recebimento valor passado  no cartão"/>
    <s v="Recebimento de Conta a Receber"/>
    <s v="N/D"/>
    <s v="N/D"/>
    <s v="Outros"/>
    <x v="0"/>
  </r>
  <r>
    <x v="11"/>
    <d v="2026-03-16T00:00:00"/>
    <d v="2026-03-16T00:00:00"/>
    <d v="2026-03-16T00:00:00"/>
    <d v="2026-03-16T00:00:00"/>
    <x v="1"/>
    <x v="1"/>
    <x v="12"/>
    <n v="-21331.5"/>
    <n v="-21331.5"/>
    <n v="0"/>
    <s v="Caixa Econômica Federal"/>
    <s v="1. Adminstrativo"/>
    <s v="Gerado automaticamente pela importação do extrato. PAG BOLETO IBC"/>
    <s v="Pagamento de Conta a Pagar"/>
    <s v="N/D"/>
    <s v="161459"/>
    <s v="Outros"/>
    <x v="5"/>
  </r>
  <r>
    <x v="11"/>
    <d v="2026-03-16T00:00:00"/>
    <d v="2026-03-16T00:00:00"/>
    <d v="2026-03-16T00:00:00"/>
    <d v="2026-03-16T00:00:00"/>
    <x v="21"/>
    <x v="1"/>
    <x v="18"/>
    <n v="-4280"/>
    <n v="-4280"/>
    <n v="0"/>
    <s v="Caixa Econômica Federal"/>
    <s v="3.2 RADIER"/>
    <s v="Gerado automaticamente pela importação do extrato. DEB PIX CHAVE - Forma para Radier - tabua de eucalipto de 15 cm x 5,40m x 25mm de espessura + ripas de 5cm x 2,7m de 25mm"/>
    <s v="Pagamento de Conta a Pagar"/>
    <s v="N/D"/>
    <s v="140848"/>
    <s v="Outros"/>
    <x v="6"/>
  </r>
  <r>
    <x v="11"/>
    <d v="2026-03-16T00:00:00"/>
    <d v="2026-03-16T00:00:00"/>
    <d v="2026-03-16T00:00:00"/>
    <d v="2026-03-16T00:00:00"/>
    <x v="1"/>
    <x v="0"/>
    <x v="12"/>
    <n v="21331.5"/>
    <n v="21331.5"/>
    <n v="0"/>
    <s v="Caixa Econômica Federal"/>
    <s v="1. Adminstrativo"/>
    <s v="Gerado automaticamente pela importação do extrato. PIX RECEBIDO"/>
    <s v="Recebimento de Conta a Receber"/>
    <s v="N/D"/>
    <s v="161335"/>
    <s v="Outros"/>
    <x v="5"/>
  </r>
  <r>
    <x v="12"/>
    <d v="2026-03-17T00:00:00"/>
    <d v="2026-03-17T00:00:00"/>
    <d v="2026-03-17T00:00:00"/>
    <d v="2026-03-17T00:00:00"/>
    <x v="12"/>
    <x v="1"/>
    <x v="9"/>
    <n v="-8.5"/>
    <n v="-8.5"/>
    <n v="0"/>
    <s v="Caixa Econômica Federal"/>
    <s v="1. Adminstrativo"/>
    <s v="TAR PIX"/>
    <s v="Lançamento de Débito"/>
    <s v="N/D"/>
    <s v="171121"/>
    <s v="Outros"/>
    <x v="3"/>
  </r>
  <r>
    <x v="12"/>
    <d v="2026-03-17T00:00:00"/>
    <d v="2026-03-17T00:00:00"/>
    <d v="2026-03-17T00:00:00"/>
    <d v="2026-03-17T00:00:00"/>
    <x v="12"/>
    <x v="1"/>
    <x v="9"/>
    <n v="-8.5"/>
    <n v="-8.5"/>
    <n v="0"/>
    <s v="Caixa Econômica Federal"/>
    <s v="1. Adminstrativo"/>
    <s v="TAR PIX"/>
    <s v="Lançamento de Débito"/>
    <s v="N/D"/>
    <s v="171509"/>
    <s v="Outros"/>
    <x v="3"/>
  </r>
  <r>
    <x v="12"/>
    <d v="2026-03-17T00:00:00"/>
    <d v="2026-03-27T00:00:00"/>
    <d v="2026-03-27T00:00:00"/>
    <d v="2026-03-17T00:00:00"/>
    <x v="21"/>
    <x v="1"/>
    <x v="19"/>
    <n v="-10000"/>
    <n v="-10000"/>
    <n v="0"/>
    <s v="Caixa Econômica Federal"/>
    <s v="3.2 RADIER"/>
    <s v="Brita graduada (lastro para nivelamento) - 10 cm esp.; 15% penetração no solo"/>
    <s v="Pagamento de Conta a Pagar"/>
    <s v="N/D"/>
    <s v="3"/>
    <s v="Outros"/>
    <x v="6"/>
  </r>
  <r>
    <x v="12"/>
    <d v="2026-03-17T00:00:00"/>
    <d v="2026-03-17T00:00:00"/>
    <d v="2026-03-17T00:00:00"/>
    <d v="2026-03-17T00:00:00"/>
    <x v="13"/>
    <x v="1"/>
    <x v="11"/>
    <n v="-2000"/>
    <n v="-2000"/>
    <n v="0"/>
    <s v="Caixa Econômica Federal"/>
    <s v="3.2 RADIER"/>
    <s v="[10:54, 17/03/2026] Felipe Fleury: Ele vai levar mais 3 pessoas pra trabalhar lá [10:54, 17/03/2026] Felipe Fleury: Mão de obra radier"/>
    <s v="Pagamento de Conta a Pagar"/>
    <s v="N/D"/>
    <s v="171121"/>
    <s v="Outros"/>
    <x v="6"/>
  </r>
  <r>
    <x v="13"/>
    <d v="2026-03-18T00:00:00"/>
    <d v="2026-03-18T00:00:00"/>
    <d v="2026-03-18T00:00:00"/>
    <d v="2026-03-18T00:00:00"/>
    <x v="12"/>
    <x v="1"/>
    <x v="9"/>
    <n v="-8.5"/>
    <n v="-8.5"/>
    <n v="0"/>
    <s v="Caixa Econômica Federal"/>
    <s v="1. Adminstrativo"/>
    <s v="TAR PIX"/>
    <s v="Lançamento de Débito"/>
    <s v="N/D"/>
    <s v="181323"/>
    <s v="Outros"/>
    <x v="3"/>
  </r>
  <r>
    <x v="13"/>
    <d v="2026-03-18T00:00:00"/>
    <d v="2026-03-18T00:00:00"/>
    <d v="2026-03-18T00:00:00"/>
    <d v="2026-03-18T00:00:00"/>
    <x v="9"/>
    <x v="1"/>
    <x v="11"/>
    <n v="-1602"/>
    <n v="-1602"/>
    <n v="0"/>
    <s v="Caixa Econômica Federal"/>
    <s v="3.2 RADIER"/>
    <s v="Gerado automaticamente pela importação do extrato. DEB PIX CHAVE Denis Juliano Andrade Souza-  - Almoço equipe radiers"/>
    <s v="Pagamento de Conta a Pagar"/>
    <s v="N/D"/>
    <s v="181323"/>
    <s v="Outros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">
  <r>
    <m/>
    <m/>
    <d v="2026-03-16T00:00:00"/>
    <d v="2026-03-16T00:00:00"/>
    <x v="0"/>
    <x v="0"/>
    <x v="0"/>
    <x v="0"/>
    <n v="144000"/>
    <n v="4166.99"/>
    <n v="139833.01"/>
    <s v="Caixa Econômica Federal"/>
    <s v="1. Adminstrativo"/>
    <s v="devolução valor transferido para outra conta"/>
    <s v="Conta a Receber"/>
    <s v="N/D"/>
    <s v="N/D"/>
    <s v="Outros"/>
    <x v="0"/>
  </r>
  <r>
    <m/>
    <m/>
    <d v="2026-03-13T00:00:00"/>
    <d v="2026-03-13T00:00:00"/>
    <x v="0"/>
    <x v="1"/>
    <x v="0"/>
    <x v="1"/>
    <n v="4100"/>
    <n v="0"/>
    <n v="4100"/>
    <s v="BRB - Banco de Brasília"/>
    <s v="1. Adminstrativo"/>
    <s v="Empréstimo dessa operação para outra operação do André.  colocar devolução para dia 17 de março"/>
    <s v="Conta a Receber"/>
    <s v="N/D"/>
    <s v="N/D"/>
    <s v="Outros"/>
    <x v="1"/>
  </r>
  <r>
    <m/>
    <m/>
    <d v="2026-03-16T00:00:00"/>
    <d v="2026-03-16T00:00:00"/>
    <x v="0"/>
    <x v="0"/>
    <x v="0"/>
    <x v="0"/>
    <n v="2595.6"/>
    <n v="0"/>
    <n v="2595.6"/>
    <s v="Caixa Econômica Federal"/>
    <s v="1. Adminstrativo"/>
    <s v="DESPESA DE OUTRO PROJETO QUE TEM QUE VOLTAR"/>
    <s v="Conta a Receber"/>
    <s v="N/D"/>
    <s v="N/D"/>
    <s v="Outros"/>
    <x v="0"/>
  </r>
  <r>
    <m/>
    <m/>
    <d v="2026-04-24T00:00:00"/>
    <d v="2026-04-24T00:00:00"/>
    <x v="1"/>
    <x v="2"/>
    <x v="1"/>
    <x v="2"/>
    <n v="-14716.35"/>
    <n v="0"/>
    <n v="-14716.35"/>
    <s v="Caixinha"/>
    <s v="1. Adminstrativo"/>
    <s v="EMPRESTIMO BRADESCO - R$ 182.000,00"/>
    <s v="Conta a Pagar"/>
    <s v="N/D"/>
    <s v="N/D"/>
    <s v="Outros"/>
    <x v="2"/>
  </r>
  <r>
    <m/>
    <m/>
    <d v="2026-04-24T00:00:00"/>
    <d v="2026-04-24T00:00:00"/>
    <x v="2"/>
    <x v="3"/>
    <x v="1"/>
    <x v="2"/>
    <n v="-9000"/>
    <n v="0"/>
    <n v="-9000"/>
    <s v="Caixinha"/>
    <s v="1. Adminstrativo"/>
    <s v="CONTA GARANTIDA SAFRA R$ 120.000,00"/>
    <s v="Conta a Pagar"/>
    <s v="N/D"/>
    <s v="N/D"/>
    <s v="Outros"/>
    <x v="2"/>
  </r>
  <r>
    <m/>
    <m/>
    <d v="2026-03-13T00:00:00"/>
    <d v="2026-03-13T00:00:00"/>
    <x v="3"/>
    <x v="4"/>
    <x v="1"/>
    <x v="2"/>
    <n v="-30000"/>
    <n v="0"/>
    <n v="-30000"/>
    <s v="Cartão Marcelo - Comp 11 Venc 17"/>
    <s v="1. Adminstrativo"/>
    <s v="Pagamento de parcela de crédito passado no cartão"/>
    <s v="Conta a Pagar"/>
    <s v="N/D"/>
    <s v="N/D"/>
    <s v="Outros"/>
    <x v="2"/>
  </r>
  <r>
    <m/>
    <m/>
    <d v="2026-05-24T00:00:00"/>
    <d v="2026-05-24T00:00:00"/>
    <x v="4"/>
    <x v="2"/>
    <x v="1"/>
    <x v="2"/>
    <n v="-14716.35"/>
    <n v="0"/>
    <n v="-14716.35"/>
    <s v="Caixinha"/>
    <s v="1. Adminstrativo"/>
    <s v="EMPRESTIMO BRADESCO - R$ 182.000,00"/>
    <s v="Contas a Pagar (repetição)"/>
    <s v="N/D"/>
    <s v="N/D"/>
    <s v="Outros"/>
    <x v="2"/>
  </r>
  <r>
    <m/>
    <m/>
    <d v="2026-03-13T00:00:00"/>
    <d v="2026-03-13T00:00:00"/>
    <x v="5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5-24T00:00:00"/>
    <d v="2026-05-24T00:00:00"/>
    <x v="6"/>
    <x v="3"/>
    <x v="1"/>
    <x v="2"/>
    <n v="-9600"/>
    <n v="0"/>
    <n v="-9600"/>
    <s v="Caixinha"/>
    <s v="1. Adminstrativo"/>
    <s v="CONTA GARANTIDA SAFRA R$ 120.000,00"/>
    <s v="Contas a Pagar (repetição)"/>
    <s v="N/D"/>
    <s v="N/D"/>
    <s v="Outros"/>
    <x v="2"/>
  </r>
  <r>
    <m/>
    <m/>
    <d v="2026-06-24T00:00:00"/>
    <d v="2026-06-24T00:00:00"/>
    <x v="7"/>
    <x v="2"/>
    <x v="1"/>
    <x v="2"/>
    <n v="-14716.35"/>
    <n v="0"/>
    <n v="-14716.35"/>
    <s v="Caixinha"/>
    <s v="1. Adminstrativo"/>
    <s v="EMPRESTIMO BRADESCO - R$ 182.000,00"/>
    <s v="Contas a Pagar (repetição)"/>
    <s v="N/D"/>
    <s v="N/D"/>
    <s v="Outros"/>
    <x v="2"/>
  </r>
  <r>
    <m/>
    <m/>
    <d v="2026-03-16T00:00:00"/>
    <d v="2026-03-16T00:00:00"/>
    <x v="8"/>
    <x v="4"/>
    <x v="1"/>
    <x v="2"/>
    <n v="-19006.150000000001"/>
    <n v="0"/>
    <n v="-19006.150000000001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 a Pagar"/>
    <s v="N/D"/>
    <s v="N/D"/>
    <s v="Outros"/>
    <x v="2"/>
  </r>
  <r>
    <m/>
    <m/>
    <d v="2026-06-24T00:00:00"/>
    <d v="2026-06-24T00:00:00"/>
    <x v="9"/>
    <x v="3"/>
    <x v="1"/>
    <x v="2"/>
    <n v="-9600"/>
    <n v="0"/>
    <n v="-9600"/>
    <s v="Caixinha"/>
    <s v="1. Adminstrativo"/>
    <s v="CONTA GARANTIDA SAFRA R$ 120.000,00"/>
    <s v="Contas a Pagar (repetição)"/>
    <s v="N/D"/>
    <s v="N/D"/>
    <s v="Outros"/>
    <x v="2"/>
  </r>
  <r>
    <m/>
    <m/>
    <d v="2026-03-13T00:00:00"/>
    <d v="2026-03-13T00:00:00"/>
    <x v="10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7-24T00:00:00"/>
    <d v="2026-07-24T00:00:00"/>
    <x v="11"/>
    <x v="2"/>
    <x v="1"/>
    <x v="2"/>
    <n v="-214716.35"/>
    <n v="0"/>
    <n v="-214716.35"/>
    <s v="Caixinha"/>
    <s v="1. Adminstrativo"/>
    <s v="EMPRESTIMO BRADESCO - R$ 182.000,00"/>
    <s v="Contas a Pagar (repetição)"/>
    <s v="N/D"/>
    <s v="N/D"/>
    <s v="Outros"/>
    <x v="2"/>
  </r>
  <r>
    <m/>
    <m/>
    <d v="2026-03-13T00:00:00"/>
    <d v="2026-03-13T00:00:00"/>
    <x v="12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7-24T00:00:00"/>
    <d v="2026-07-24T00:00:00"/>
    <x v="13"/>
    <x v="3"/>
    <x v="1"/>
    <x v="2"/>
    <n v="-129600"/>
    <n v="0"/>
    <n v="-129600"/>
    <s v="Caixinha"/>
    <s v="1. Adminstrativo"/>
    <s v="CONTA GARANTIDA SAFRA R$ 120.000,00"/>
    <s v="Contas a Pagar (repetição)"/>
    <s v="N/D"/>
    <s v="N/D"/>
    <s v="Outros"/>
    <x v="2"/>
  </r>
  <r>
    <m/>
    <m/>
    <d v="2026-04-16T00:00:00"/>
    <d v="2026-04-16T00:00:00"/>
    <x v="14"/>
    <x v="4"/>
    <x v="1"/>
    <x v="2"/>
    <n v="-19006.150000000001"/>
    <n v="0"/>
    <n v="-19006.150000000001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s a Pagar (repetição)"/>
    <s v="N/D"/>
    <s v="N/D"/>
    <s v="Outros"/>
    <x v="2"/>
  </r>
  <r>
    <m/>
    <m/>
    <d v="2026-03-13T00:00:00"/>
    <d v="2026-03-13T00:00:00"/>
    <x v="15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5-16T00:00:00"/>
    <d v="2026-05-16T00:00:00"/>
    <x v="16"/>
    <x v="4"/>
    <x v="1"/>
    <x v="2"/>
    <n v="-280000"/>
    <n v="0"/>
    <n v="-280000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s a Pagar (repetição)"/>
    <s v="N/D"/>
    <s v="N/D"/>
    <s v="Outros"/>
    <x v="2"/>
  </r>
  <r>
    <m/>
    <m/>
    <d v="2026-04-09T00:00:00"/>
    <d v="2026-04-09T00:00:00"/>
    <x v="17"/>
    <x v="5"/>
    <x v="0"/>
    <x v="3"/>
    <n v="855077.76"/>
    <n v="0"/>
    <n v="855077.76"/>
    <s v="Caixinha"/>
    <s v="3 . Operação"/>
    <s v="N/D"/>
    <s v="Contas a Receber (repetição)"/>
    <s v="N/D"/>
    <s v="N/D"/>
    <s v="Outros"/>
    <x v="3"/>
  </r>
  <r>
    <m/>
    <m/>
    <d v="2026-04-23T00:00:00"/>
    <d v="2026-04-23T00:00:00"/>
    <x v="18"/>
    <x v="5"/>
    <x v="0"/>
    <x v="3"/>
    <n v="758705.11"/>
    <n v="0"/>
    <n v="758705.11"/>
    <s v="Caixinha"/>
    <s v="3 . Operação"/>
    <s v="N/D"/>
    <s v="Contas a Receber (repetição)"/>
    <s v="N/D"/>
    <s v="N/D"/>
    <s v="Outros"/>
    <x v="3"/>
  </r>
  <r>
    <m/>
    <m/>
    <d v="2026-05-07T00:00:00"/>
    <d v="2026-05-07T00:00:00"/>
    <x v="19"/>
    <x v="5"/>
    <x v="0"/>
    <x v="3"/>
    <n v="1110679.83"/>
    <n v="0"/>
    <n v="1185999.4099999999"/>
    <s v="Caixinha"/>
    <s v="3 . Operação"/>
    <s v="N/D"/>
    <s v="Contas a Receber (repetição)"/>
    <s v="N/D"/>
    <s v="N/D"/>
    <s v="Outros"/>
    <x v="3"/>
  </r>
  <r>
    <m/>
    <m/>
    <d v="2026-05-21T00:00:00"/>
    <d v="2026-05-21T00:00:00"/>
    <x v="7"/>
    <x v="5"/>
    <x v="0"/>
    <x v="3"/>
    <n v="1219493.52"/>
    <n v="0"/>
    <n v="1128269.93"/>
    <s v="Caixinha"/>
    <s v="3 . Operação"/>
    <s v="N/D"/>
    <s v="Contas a Receber (repetição)"/>
    <s v="N/D"/>
    <s v="N/D"/>
    <s v="Outros"/>
    <x v="3"/>
  </r>
  <r>
    <m/>
    <m/>
    <d v="2026-06-04T00:00:00"/>
    <d v="2026-06-04T00:00:00"/>
    <x v="20"/>
    <x v="5"/>
    <x v="0"/>
    <x v="3"/>
    <n v="1842453.54"/>
    <n v="0"/>
    <n v="1584686.79"/>
    <s v="Caixinha"/>
    <s v="3 . Operação"/>
    <s v="N/D"/>
    <s v="Contas a Receber (repetição)"/>
    <s v="N/D"/>
    <s v="N/D"/>
    <s v="Outros"/>
    <x v="3"/>
  </r>
  <r>
    <m/>
    <m/>
    <d v="2026-06-18T00:00:00"/>
    <d v="2026-06-18T00:00:00"/>
    <x v="21"/>
    <x v="5"/>
    <x v="0"/>
    <x v="3"/>
    <n v="838686.67"/>
    <n v="0"/>
    <n v="929910.25"/>
    <s v="Caixinha"/>
    <s v="3 . Operação"/>
    <s v="N/D"/>
    <s v="Contas a Receber (repetição)"/>
    <s v="N/D"/>
    <s v="N/D"/>
    <s v="Outros"/>
    <x v="3"/>
  </r>
  <r>
    <m/>
    <m/>
    <d v="2026-07-02T00:00:00"/>
    <d v="2026-07-02T00:00:00"/>
    <x v="22"/>
    <x v="5"/>
    <x v="0"/>
    <x v="3"/>
    <n v="419604.65"/>
    <n v="0"/>
    <n v="602051.81999999995"/>
    <s v="Caixinha"/>
    <s v="3 . Operação"/>
    <s v="N/D"/>
    <s v="Contas a Receber (repetição)"/>
    <s v="N/D"/>
    <s v="N/D"/>
    <s v="Outros"/>
    <x v="3"/>
  </r>
  <r>
    <m/>
    <m/>
    <d v="2026-03-16T00:00:00"/>
    <d v="2026-03-16T00:00:00"/>
    <x v="23"/>
    <x v="6"/>
    <x v="0"/>
    <x v="4"/>
    <n v="1000"/>
    <n v="0"/>
    <n v="1000"/>
    <s v="Caixa Econômica Federal"/>
    <s v="3 . Operação"/>
    <s v="ALUGUEL MORADIA GUSTAVO - ENGENHARIA 1K CAUÇÃO E 2K DE ALUGUEL"/>
    <s v="Conta a Receber"/>
    <s v="N/D"/>
    <s v="N/D"/>
    <s v="Outros"/>
    <x v="1"/>
  </r>
  <r>
    <m/>
    <m/>
    <d v="2026-07-16T00:00:00"/>
    <d v="2026-07-16T00:00:00"/>
    <x v="24"/>
    <x v="5"/>
    <x v="0"/>
    <x v="3"/>
    <n v="315298.84000000003"/>
    <n v="0"/>
    <n v="315298.84000000003"/>
    <s v="Caixinha"/>
    <s v="3 . Operação"/>
    <s v="N/D"/>
    <s v="Contas a Receber (repetição)"/>
    <s v="N/D"/>
    <s v="N/D"/>
    <s v="Outros"/>
    <x v="3"/>
  </r>
  <r>
    <m/>
    <m/>
    <d v="2026-05-08T00:00:00"/>
    <d v="2026-05-08T00:00:00"/>
    <x v="4"/>
    <x v="5"/>
    <x v="1"/>
    <x v="5"/>
    <n v="-13686.87"/>
    <n v="0"/>
    <n v="-13686.87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5-08T00:00:00"/>
    <d v="2026-05-08T00:00:00"/>
    <x v="4"/>
    <x v="5"/>
    <x v="1"/>
    <x v="6"/>
    <n v="-7387.52"/>
    <n v="0"/>
    <n v="-7387.52"/>
    <s v="Caixinha"/>
    <s v="3.10   PISO E RODAPÉ"/>
    <s v=" Argamassa colante AC I"/>
    <s v="Conta a Pagar"/>
    <s v="N/D"/>
    <s v="N/D"/>
    <s v="Outros"/>
    <x v="4"/>
  </r>
  <r>
    <m/>
    <m/>
    <d v="2026-05-08T00:00:00"/>
    <d v="2026-05-08T00:00:00"/>
    <x v="4"/>
    <x v="5"/>
    <x v="1"/>
    <x v="6"/>
    <n v="-2496"/>
    <n v="0"/>
    <n v="-2496"/>
    <s v="Caixinha"/>
    <s v="3.10   PISO E RODAPÉ"/>
    <s v=" Rejunte cimenticio"/>
    <s v="Conta a Pagar"/>
    <s v="N/D"/>
    <s v="N/D"/>
    <s v="Outros"/>
    <x v="4"/>
  </r>
  <r>
    <m/>
    <m/>
    <d v="2026-05-08T00:00:00"/>
    <d v="2026-05-08T00:00:00"/>
    <x v="4"/>
    <x v="5"/>
    <x v="1"/>
    <x v="6"/>
    <n v="-403.2"/>
    <n v="0"/>
    <n v="-403.2"/>
    <s v="Caixinha"/>
    <s v="3.10   PISO E RODAPÉ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5"/>
    <n v="-13284.31"/>
    <n v="0"/>
    <n v="-13284.31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6-05T00:00:00"/>
    <d v="2026-06-05T00:00:00"/>
    <x v="25"/>
    <x v="5"/>
    <x v="1"/>
    <x v="6"/>
    <n v="-7387.52"/>
    <n v="0"/>
    <n v="-7387.52"/>
    <s v="Caixinha"/>
    <s v="3.10   PISO E RODAPÉ"/>
    <s v=" Argamassa colante AC I"/>
    <s v="Conta a Pagar"/>
    <s v="N/D"/>
    <s v="N/D"/>
    <s v="Outros"/>
    <x v="4"/>
  </r>
  <r>
    <m/>
    <m/>
    <d v="2026-06-05T00:00:00"/>
    <d v="2026-06-05T00:00:00"/>
    <x v="25"/>
    <x v="5"/>
    <x v="1"/>
    <x v="6"/>
    <n v="-403.2"/>
    <n v="0"/>
    <n v="-403.2"/>
    <s v="Caixinha"/>
    <s v="3.10   PISO E RODAPÉ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6"/>
    <n v="-2496"/>
    <n v="0"/>
    <n v="-2496"/>
    <s v="Caixinha"/>
    <s v="3.10   PISO E RODAPÉ"/>
    <s v=" Rejunte cimenticio"/>
    <s v="Conta a Pagar"/>
    <s v="N/D"/>
    <s v="N/D"/>
    <s v="Outros"/>
    <x v="4"/>
  </r>
  <r>
    <m/>
    <m/>
    <d v="2026-07-03T00:00:00"/>
    <d v="2026-07-03T00:00:00"/>
    <x v="26"/>
    <x v="5"/>
    <x v="1"/>
    <x v="5"/>
    <n v="-13284.31"/>
    <n v="0"/>
    <n v="-13284.31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5-08T00:00:00"/>
    <d v="2026-05-08T00:00:00"/>
    <x v="27"/>
    <x v="5"/>
    <x v="1"/>
    <x v="7"/>
    <n v="-1500.8"/>
    <n v="0"/>
    <n v="-1500.8"/>
    <s v="Caixinha"/>
    <s v="3.11 PINGADEIRAS E SOLEIRAS"/>
    <s v="  Mao de obra Assentamento Soleira em basalto  0,94 x 0,125 x 0,02 - entrada"/>
    <s v="Conta a Pagar"/>
    <s v="N/D"/>
    <s v="N/D"/>
    <s v="Outros"/>
    <x v="4"/>
  </r>
  <r>
    <m/>
    <m/>
    <d v="2026-05-08T00:00:00"/>
    <d v="2026-05-08T00:00:00"/>
    <x v="4"/>
    <x v="5"/>
    <x v="1"/>
    <x v="5"/>
    <n v="-2240"/>
    <n v="0"/>
    <n v="-2240"/>
    <s v="Caixinha"/>
    <s v="3.11 PINGADEIRAS E SOLEIRAS"/>
    <s v=" Soleira em basalto  0,84 x 0,125 x 0,02 - cozinha"/>
    <s v="Conta a Pagar"/>
    <s v="N/D"/>
    <s v="N/D"/>
    <s v="Outros"/>
    <x v="4"/>
  </r>
  <r>
    <m/>
    <m/>
    <d v="2026-05-08T00:00:00"/>
    <d v="2026-05-08T00:00:00"/>
    <x v="4"/>
    <x v="5"/>
    <x v="1"/>
    <x v="5"/>
    <n v="-2240"/>
    <n v="0"/>
    <n v="-2240"/>
    <s v="Caixinha"/>
    <s v="3.11 PINGADEIRAS E SOLEIRAS"/>
    <s v=" Soleira em basalto  0,94 x 0,125 x 0,02 - entrada"/>
    <s v="Conta a Pagar"/>
    <s v="N/D"/>
    <s v="N/D"/>
    <s v="Outros"/>
    <x v="4"/>
  </r>
  <r>
    <m/>
    <m/>
    <d v="2026-05-08T00:00:00"/>
    <d v="2026-05-08T00:00:00"/>
    <x v="4"/>
    <x v="5"/>
    <x v="1"/>
    <x v="6"/>
    <n v="-217.28"/>
    <n v="0"/>
    <n v="-217.28"/>
    <s v="Caixinha"/>
    <s v="3.11 PINGADEIRAS E SOLEIRAS"/>
    <s v=" Argamassa colante AC I"/>
    <s v="Conta a Pagar"/>
    <s v="N/D"/>
    <s v="N/D"/>
    <s v="Outros"/>
    <x v="4"/>
  </r>
  <r>
    <m/>
    <m/>
    <d v="2026-04-24T00:00:00"/>
    <d v="2026-04-24T00:00:00"/>
    <x v="28"/>
    <x v="5"/>
    <x v="1"/>
    <x v="7"/>
    <n v="-1499.2"/>
    <n v="0"/>
    <n v="-1499.2"/>
    <s v="Caixinha"/>
    <s v="3.11 PINGADEIRAS E SOLEIRAS"/>
    <s v="  Mao de obra Assentamento Soleira em basalto  0,94 x 0,125 x 0,02 - entrada"/>
    <s v="Conta a Pagar"/>
    <s v="N/D"/>
    <s v="N/D"/>
    <s v="Outros"/>
    <x v="4"/>
  </r>
  <r>
    <m/>
    <m/>
    <d v="2026-06-05T00:00:00"/>
    <d v="2026-06-05T00:00:00"/>
    <x v="25"/>
    <x v="5"/>
    <x v="1"/>
    <x v="5"/>
    <n v="-2240"/>
    <n v="0"/>
    <n v="-2240"/>
    <s v="Caixinha"/>
    <s v="3.11 PINGADEIRAS E SOLEIRAS"/>
    <s v=" Soleira em basalto  0,94 x 0,125 x 0,02 - entrada"/>
    <s v="Conta a Pagar"/>
    <s v="N/D"/>
    <s v="N/D"/>
    <s v="Outros"/>
    <x v="4"/>
  </r>
  <r>
    <m/>
    <m/>
    <d v="2026-06-05T00:00:00"/>
    <d v="2026-06-05T00:00:00"/>
    <x v="25"/>
    <x v="5"/>
    <x v="1"/>
    <x v="5"/>
    <n v="-2240"/>
    <n v="0"/>
    <n v="-2240"/>
    <s v="Caixinha"/>
    <s v="3.11 PINGADEIRAS E SOLEIRAS"/>
    <s v=" Soleira em basalto  0,84 x 0,125 x 0,02 - cozinha"/>
    <s v="Conta a Pagar"/>
    <s v="N/D"/>
    <s v="N/D"/>
    <s v="Outros"/>
    <x v="4"/>
  </r>
  <r>
    <m/>
    <m/>
    <d v="2026-06-05T00:00:00"/>
    <d v="2026-06-05T00:00:00"/>
    <x v="25"/>
    <x v="5"/>
    <x v="1"/>
    <x v="6"/>
    <n v="-217.28"/>
    <n v="0"/>
    <n v="-217.28"/>
    <s v="Caixinha"/>
    <s v="3.11 PINGADEIRAS E SOLEIRAS"/>
    <s v=" Argamassa colante AC I"/>
    <s v="Conta a Pagar"/>
    <s v="N/D"/>
    <s v="N/D"/>
    <s v="Outros"/>
    <x v="4"/>
  </r>
  <r>
    <m/>
    <m/>
    <d v="2026-06-05T00:00:00"/>
    <d v="2026-06-05T00:00:00"/>
    <x v="29"/>
    <x v="5"/>
    <x v="1"/>
    <x v="7"/>
    <n v="-3560"/>
    <n v="0"/>
    <n v="-3560"/>
    <s v="Caixinha"/>
    <s v="3.11 PINGADEIRAS E SOLEIRAS"/>
    <s v="  Mao de obra Assentamento Soleira em basalto  0,94 x 0,125 x 0,02 - entrada"/>
    <s v="Conta a Pagar"/>
    <s v="N/D"/>
    <s v="N/D"/>
    <s v="Outros"/>
    <x v="4"/>
  </r>
  <r>
    <m/>
    <m/>
    <d v="2026-05-22T00:00:00"/>
    <d v="2026-05-22T00:00:00"/>
    <x v="30"/>
    <x v="5"/>
    <x v="1"/>
    <x v="7"/>
    <n v="-5391.2"/>
    <n v="0"/>
    <n v="-5391.2"/>
    <s v="Caixinha"/>
    <s v="3.11 PINGADEIRAS E SOLEIRAS"/>
    <s v="  Mao de obra Assentamento Soleira em basalto  0,94 x 0,125 x 0,02 - entrada"/>
    <s v="Conta a Pagar"/>
    <s v="N/D"/>
    <s v="N/D"/>
    <s v="Outros"/>
    <x v="4"/>
  </r>
  <r>
    <m/>
    <m/>
    <d v="2026-06-19T00:00:00"/>
    <d v="2026-06-19T00:00:00"/>
    <x v="31"/>
    <x v="5"/>
    <x v="1"/>
    <x v="7"/>
    <n v="-4048.8"/>
    <n v="0"/>
    <n v="-4048.8"/>
    <s v="Caixinha"/>
    <s v="3.11 PINGADEIRAS E SOLEIRAS"/>
    <s v="  Mao de obra Assentamento Soleira em basalto  0,94 x 0,125 x 0,02 - entrada"/>
    <s v="Conta a Pagar"/>
    <s v="N/D"/>
    <s v="N/D"/>
    <s v="Outros"/>
    <x v="4"/>
  </r>
  <r>
    <m/>
    <m/>
    <d v="2026-06-05T00:00:00"/>
    <d v="2026-06-05T00:00:00"/>
    <x v="32"/>
    <x v="5"/>
    <x v="1"/>
    <x v="6"/>
    <n v="-38.4"/>
    <n v="0"/>
    <n v="-38.4"/>
    <s v="Caixinha"/>
    <s v="3.12 ESQUADRA DE ALUMINO"/>
    <s v=" Bucha 6 mm para concreto"/>
    <s v="Conta a Pagar"/>
    <s v="N/D"/>
    <s v="N/D"/>
    <s v="Outros"/>
    <x v="4"/>
  </r>
  <r>
    <m/>
    <m/>
    <d v="2026-06-05T00:00:00"/>
    <d v="2026-06-05T00:00:00"/>
    <x v="32"/>
    <x v="5"/>
    <x v="1"/>
    <x v="8"/>
    <n v="-33371.14"/>
    <n v="0"/>
    <n v="-33371.14"/>
    <s v="Caixinha"/>
    <s v="3.12 ESQUADRA DE ALUMINO"/>
    <s v=" PORTA LAMINADA AL.BCO SOFT (37MM) ESQUERDA. 215X120"/>
    <s v="Conta a Pagar"/>
    <s v="N/D"/>
    <s v="N/D"/>
    <s v="Outros"/>
    <x v="4"/>
  </r>
  <r>
    <m/>
    <m/>
    <d v="2026-06-05T00:00:00"/>
    <d v="2026-06-05T00:00:00"/>
    <x v="32"/>
    <x v="5"/>
    <x v="1"/>
    <x v="8"/>
    <n v="-13395.02"/>
    <n v="0"/>
    <n v="-13395.02"/>
    <s v="Caixinha"/>
    <s v="3.12 ESQUADRA DE ALUMINO"/>
    <s v=" PORTA LAMINADA AL.BCO SOFT(37MM) DIR. 215X94"/>
    <s v="Conta a Pagar"/>
    <s v="N/D"/>
    <s v="N/D"/>
    <s v="Outros"/>
    <x v="4"/>
  </r>
  <r>
    <m/>
    <m/>
    <d v="2026-06-05T00:00:00"/>
    <d v="2026-06-05T00:00:00"/>
    <x v="32"/>
    <x v="5"/>
    <x v="1"/>
    <x v="9"/>
    <n v="-124.8"/>
    <n v="0"/>
    <n v="-124.8"/>
    <s v="Caixinha"/>
    <s v="3.12 ESQUADRA DE ALUMINO"/>
    <s v=" Parafuso panela fenda/phillips 4,8 x 50 mm - INOX"/>
    <s v="Conta a Pagar"/>
    <s v="N/D"/>
    <s v="N/D"/>
    <s v="Outros"/>
    <x v="4"/>
  </r>
  <r>
    <m/>
    <m/>
    <d v="2026-06-05T00:00:00"/>
    <d v="2026-06-05T00:00:00"/>
    <x v="32"/>
    <x v="5"/>
    <x v="1"/>
    <x v="6"/>
    <n v="-1625.6"/>
    <n v="0"/>
    <n v="-1625.6"/>
    <s v="Caixinha"/>
    <s v="3.12 ESQUADRA DE ALUMINO"/>
    <s v=" Espuma Expansiva de Poliuretano 300ml"/>
    <s v="Conta a Pagar"/>
    <s v="N/D"/>
    <s v="N/D"/>
    <s v="Outros"/>
    <x v="4"/>
  </r>
  <r>
    <m/>
    <m/>
    <d v="2026-06-05T00:00:00"/>
    <d v="2026-06-05T00:00:00"/>
    <x v="32"/>
    <x v="5"/>
    <x v="1"/>
    <x v="6"/>
    <n v="-286.39999999999998"/>
    <n v="0"/>
    <n v="-286.39999999999998"/>
    <s v="Caixinha"/>
    <s v="3.12 ESQUADRA DE ALUMINO"/>
    <s v=" Fita crepe 48 mm x 50 m"/>
    <s v="Conta a Pagar"/>
    <s v="N/D"/>
    <s v="N/D"/>
    <s v="Outros"/>
    <x v="4"/>
  </r>
  <r>
    <m/>
    <m/>
    <d v="2026-06-05T00:00:00"/>
    <d v="2026-06-05T00:00:00"/>
    <x v="32"/>
    <x v="5"/>
    <x v="1"/>
    <x v="6"/>
    <n v="-480"/>
    <n v="0"/>
    <n v="-480"/>
    <s v="Caixinha"/>
    <s v="3.12 ESQUADRA DE ALUMINO"/>
    <s v=" Selante acrilico c / 390 g - TECKBOND"/>
    <s v="Conta a Pagar"/>
    <s v="N/D"/>
    <s v="N/D"/>
    <s v="Outros"/>
    <x v="4"/>
  </r>
  <r>
    <m/>
    <m/>
    <d v="2026-05-22T00:00:00"/>
    <d v="2026-05-22T00:00:00"/>
    <x v="30"/>
    <x v="5"/>
    <x v="1"/>
    <x v="7"/>
    <n v="-2698.56"/>
    <n v="0"/>
    <n v="-2698.56"/>
    <s v="Caixinha"/>
    <s v="3.12 ESQUADRA DE ALUMINO"/>
    <s v=" Mao de obra terceirizada colocaçao de Portas externa"/>
    <s v="Conta a Pagar"/>
    <s v="N/D"/>
    <s v="N/D"/>
    <s v="Outros"/>
    <x v="4"/>
  </r>
  <r>
    <m/>
    <m/>
    <d v="2026-06-05T00:00:00"/>
    <d v="2026-06-05T00:00:00"/>
    <x v="29"/>
    <x v="5"/>
    <x v="1"/>
    <x v="7"/>
    <n v="-2701.44"/>
    <n v="0"/>
    <n v="-2701.44"/>
    <s v="Caixinha"/>
    <s v="3.12 ESQUADRA DE ALUMINO"/>
    <s v=" Mao de obra terceirizada colocaçao de Portas externa"/>
    <s v="Conta a Pagar"/>
    <s v="N/D"/>
    <s v="N/D"/>
    <s v="Outros"/>
    <x v="4"/>
  </r>
  <r>
    <m/>
    <m/>
    <d v="2026-07-03T00:00:00"/>
    <d v="2026-07-03T00:00:00"/>
    <x v="33"/>
    <x v="5"/>
    <x v="1"/>
    <x v="6"/>
    <n v="-1625.6"/>
    <n v="0"/>
    <n v="-1625.6"/>
    <s v="Caixinha"/>
    <s v="3.12 ESQUADRA DE ALUMINO"/>
    <s v=" Espuma Expansiva de Poliuretano 300ml"/>
    <s v="Conta a Pagar"/>
    <s v="N/D"/>
    <s v="N/D"/>
    <s v="Outros"/>
    <x v="4"/>
  </r>
  <r>
    <m/>
    <m/>
    <d v="2026-07-03T00:00:00"/>
    <d v="2026-07-03T00:00:00"/>
    <x v="33"/>
    <x v="5"/>
    <x v="1"/>
    <x v="6"/>
    <n v="-38.4"/>
    <n v="0"/>
    <n v="-38.4"/>
    <s v="Caixinha"/>
    <s v="3.12 ESQUADRA DE ALUMINO"/>
    <s v=" Bucha 6 mm para concreto"/>
    <s v="Conta a Pagar"/>
    <s v="N/D"/>
    <s v="N/D"/>
    <s v="Outros"/>
    <x v="4"/>
  </r>
  <r>
    <m/>
    <m/>
    <d v="2026-07-03T00:00:00"/>
    <d v="2026-07-03T00:00:00"/>
    <x v="33"/>
    <x v="5"/>
    <x v="1"/>
    <x v="6"/>
    <n v="-286.39999999999998"/>
    <n v="0"/>
    <n v="-286.39999999999998"/>
    <s v="Caixinha"/>
    <s v="3.12 ESQUADRA DE ALUMINO"/>
    <s v=" Fita crepe 48 mm x 50 m"/>
    <s v="Conta a Pagar"/>
    <s v="N/D"/>
    <s v="N/D"/>
    <s v="Outros"/>
    <x v="4"/>
  </r>
  <r>
    <m/>
    <m/>
    <d v="2026-07-03T00:00:00"/>
    <d v="2026-07-03T00:00:00"/>
    <x v="33"/>
    <x v="5"/>
    <x v="1"/>
    <x v="8"/>
    <n v="-32389.63"/>
    <n v="0"/>
    <n v="-32389.63"/>
    <s v="Caixinha"/>
    <s v="3.12 ESQUADRA DE ALUMINO"/>
    <s v=" PORTA LAMINADA AL.BCO SOFT (37MM) ESQUERDA. 215X120"/>
    <s v="Conta a Pagar"/>
    <s v="N/D"/>
    <s v="N/D"/>
    <s v="Outros"/>
    <x v="4"/>
  </r>
  <r>
    <m/>
    <m/>
    <d v="2026-07-03T00:00:00"/>
    <d v="2026-07-03T00:00:00"/>
    <x v="33"/>
    <x v="5"/>
    <x v="1"/>
    <x v="8"/>
    <n v="-13001.05"/>
    <n v="0"/>
    <n v="-13001.05"/>
    <s v="Caixinha"/>
    <s v="3.12 ESQUADRA DE ALUMINO"/>
    <s v=" PORTA LAMINADA AL.BCO SOFT(37MM) DIR. 215X94"/>
    <s v="Conta a Pagar"/>
    <s v="N/D"/>
    <s v="N/D"/>
    <s v="Outros"/>
    <x v="4"/>
  </r>
  <r>
    <m/>
    <m/>
    <d v="2026-07-03T00:00:00"/>
    <d v="2026-07-03T00:00:00"/>
    <x v="34"/>
    <x v="5"/>
    <x v="1"/>
    <x v="7"/>
    <n v="-13695.84"/>
    <n v="0"/>
    <n v="-13695.84"/>
    <s v="Caixinha"/>
    <s v="3.12 ESQUADRA DE ALUMINO"/>
    <s v=" Mao de obra terceirizada colocaçao de Portas externa"/>
    <s v="Conta a Pagar"/>
    <s v="N/D"/>
    <s v="N/D"/>
    <s v="Outros"/>
    <x v="4"/>
  </r>
  <r>
    <m/>
    <m/>
    <d v="2026-07-03T00:00:00"/>
    <d v="2026-07-03T00:00:00"/>
    <x v="33"/>
    <x v="5"/>
    <x v="1"/>
    <x v="9"/>
    <n v="-124.8"/>
    <n v="0"/>
    <n v="-124.8"/>
    <s v="Caixinha"/>
    <s v="3.12 ESQUADRA DE ALUMINO"/>
    <s v=" Parafuso panela fenda/phillips 4,8 x 50 mm - INOX"/>
    <s v="Conta a Pagar"/>
    <s v="N/D"/>
    <s v="N/D"/>
    <s v="Outros"/>
    <x v="4"/>
  </r>
  <r>
    <m/>
    <m/>
    <d v="2026-07-03T00:00:00"/>
    <d v="2026-07-03T00:00:00"/>
    <x v="33"/>
    <x v="5"/>
    <x v="1"/>
    <x v="6"/>
    <n v="-480"/>
    <n v="0"/>
    <n v="-480"/>
    <s v="Caixinha"/>
    <s v="3.12 ESQUADRA DE ALUMINO"/>
    <s v=" Selante acrilico c / 390 g - TECKBOND"/>
    <s v="Conta a Pagar"/>
    <s v="N/D"/>
    <s v="N/D"/>
    <s v="Outros"/>
    <x v="4"/>
  </r>
  <r>
    <m/>
    <m/>
    <d v="2026-06-19T00:00:00"/>
    <d v="2026-06-19T00:00:00"/>
    <x v="31"/>
    <x v="5"/>
    <x v="1"/>
    <x v="7"/>
    <n v="-9704.16"/>
    <n v="0"/>
    <n v="-9704.16"/>
    <s v="Caixinha"/>
    <s v="3.12 ESQUADRA DE ALUMINO"/>
    <s v=" Mao de obra terceirizada colocaçao de Portas externa"/>
    <s v="Conta a Pagar"/>
    <s v="N/D"/>
    <s v="N/D"/>
    <s v="Outros"/>
    <x v="4"/>
  </r>
  <r>
    <m/>
    <m/>
    <d v="2026-07-31T00:00:00"/>
    <d v="2026-07-31T00:00:00"/>
    <x v="35"/>
    <x v="5"/>
    <x v="1"/>
    <x v="8"/>
    <n v="-32389.63"/>
    <n v="0"/>
    <n v="-32389.63"/>
    <s v="Caixinha"/>
    <s v="3.12 ESQUADRA DE ALUMINO"/>
    <s v=" PORTA LAMINADA AL.BCO SOFT (37MM) ESQUERDA. 215X120"/>
    <s v="Conta a Pagar"/>
    <s v="N/D"/>
    <s v="N/D"/>
    <s v="Outros"/>
    <x v="4"/>
  </r>
  <r>
    <m/>
    <m/>
    <d v="2026-07-31T00:00:00"/>
    <d v="2026-07-31T00:00:00"/>
    <x v="35"/>
    <x v="5"/>
    <x v="1"/>
    <x v="8"/>
    <n v="-13001.05"/>
    <n v="0"/>
    <n v="-13001.05"/>
    <s v="Caixinha"/>
    <s v="3.12 ESQUADRA DE ALUMINO"/>
    <s v=" PORTA LAMINADA AL.BCO SOFT(37MM) DIR. 215X94"/>
    <s v="Conta a Pagar"/>
    <s v="N/D"/>
    <s v="N/D"/>
    <s v="Outros"/>
    <x v="4"/>
  </r>
  <r>
    <m/>
    <m/>
    <d v="2026-06-05T00:00:00"/>
    <d v="2026-06-05T00:00:00"/>
    <x v="32"/>
    <x v="5"/>
    <x v="1"/>
    <x v="8"/>
    <n v="-25920"/>
    <n v="0"/>
    <n v="-25920"/>
    <s v="Caixinha"/>
    <s v="3.12 ESQUADRIA DE MADEIRA"/>
    <s v=" PORTA EM MADEIRA PINUS SECA EM ESTUFA P/ USO INTERNO  INCLUSO DOBRADIÇA E FECHADURA SOPRANO"/>
    <s v="Conta a Pagar"/>
    <s v="N/D"/>
    <s v="N/D"/>
    <s v="Outros"/>
    <x v="4"/>
  </r>
  <r>
    <m/>
    <m/>
    <d v="2026-06-05T00:00:00"/>
    <d v="2026-06-05T00:00:00"/>
    <x v="32"/>
    <x v="5"/>
    <x v="1"/>
    <x v="6"/>
    <n v="-4000"/>
    <n v="0"/>
    <n v="-4000"/>
    <s v="Caixinha"/>
    <s v="3.12 ESQUADRIA DE MADEIRA"/>
    <s v=" ESPUMA EXPANSIVA DE POLIURETANO - 500 ML"/>
    <s v="Conta a Pagar"/>
    <s v="N/D"/>
    <s v="N/D"/>
    <s v="Outros"/>
    <x v="4"/>
  </r>
  <r>
    <m/>
    <m/>
    <d v="2026-07-03T00:00:00"/>
    <d v="2026-07-03T00:00:00"/>
    <x v="33"/>
    <x v="5"/>
    <x v="1"/>
    <x v="8"/>
    <n v="-25920"/>
    <n v="0"/>
    <n v="-25920"/>
    <s v="Caixinha"/>
    <s v="3.12 ESQUADRIA DE MADEIRA"/>
    <s v=" PORTA EM MADEIRA PINUS SECA EM ESTUFA P/ USO INTERNO  INCLUSO DOBRADIÇA E FECHADURA SOPRANO"/>
    <s v="Conta a Pagar"/>
    <s v="N/D"/>
    <s v="N/D"/>
    <s v="Outros"/>
    <x v="4"/>
  </r>
  <r>
    <m/>
    <m/>
    <d v="2026-07-03T00:00:00"/>
    <d v="2026-07-03T00:00:00"/>
    <x v="33"/>
    <x v="5"/>
    <x v="1"/>
    <x v="6"/>
    <n v="-4000"/>
    <n v="0"/>
    <n v="-4000"/>
    <s v="Caixinha"/>
    <s v="3.12 ESQUADRIA DE MADEIRA"/>
    <s v=" ESPUMA EXPANSIVA DE POLIURETANO - 500 ML"/>
    <s v="Conta a Pagar"/>
    <s v="N/D"/>
    <s v="N/D"/>
    <s v="Outros"/>
    <x v="4"/>
  </r>
  <r>
    <m/>
    <m/>
    <d v="2026-06-05T00:00:00"/>
    <d v="2026-06-05T00:00:00"/>
    <x v="32"/>
    <x v="5"/>
    <x v="1"/>
    <x v="8"/>
    <n v="-30028.799999999999"/>
    <n v="0"/>
    <n v="-30028.7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6-05T00:00:00"/>
    <d v="2026-06-05T00:00:00"/>
    <x v="32"/>
    <x v="5"/>
    <x v="1"/>
    <x v="6"/>
    <n v="-166.4"/>
    <n v="0"/>
    <n v="-166.4"/>
    <s v="Caixinha"/>
    <s v="3.13 ESQUADRIAS EM ALUMINIO - JANELAS EXTERNAS"/>
    <s v=" Bucha 6 mm para concreto"/>
    <s v="Conta a Pagar"/>
    <s v="N/D"/>
    <s v="N/D"/>
    <s v="Outros"/>
    <x v="4"/>
  </r>
  <r>
    <m/>
    <m/>
    <d v="2026-06-05T00:00:00"/>
    <d v="2026-06-05T00:00:00"/>
    <x v="32"/>
    <x v="5"/>
    <x v="1"/>
    <x v="6"/>
    <n v="-812.8"/>
    <n v="0"/>
    <n v="-812.8"/>
    <s v="Caixinha"/>
    <s v="3.13 ESQUADRIAS EM ALUMINIO - JANELAS EXTERNAS"/>
    <s v=" Espuma Expansiva de Poliuretano 300ml"/>
    <s v="Conta a Pagar"/>
    <s v="N/D"/>
    <s v="N/D"/>
    <s v="Outros"/>
    <x v="4"/>
  </r>
  <r>
    <m/>
    <m/>
    <d v="2026-06-05T00:00:00"/>
    <d v="2026-06-05T00:00:00"/>
    <x v="32"/>
    <x v="5"/>
    <x v="1"/>
    <x v="6"/>
    <n v="-1920"/>
    <n v="0"/>
    <n v="-1920"/>
    <s v="Caixinha"/>
    <s v="3.13 ESQUADRIAS EM ALUMINIO - JANELAS EXTERNAS"/>
    <s v=" Selante acrilico c / 390 g - TECKBOND"/>
    <s v="Conta a Pagar"/>
    <s v="N/D"/>
    <s v="N/D"/>
    <s v="Outros"/>
    <x v="4"/>
  </r>
  <r>
    <m/>
    <m/>
    <d v="2026-06-05T00:00:00"/>
    <d v="2026-06-05T00:00:00"/>
    <x v="32"/>
    <x v="5"/>
    <x v="1"/>
    <x v="8"/>
    <n v="-8203.52"/>
    <n v="0"/>
    <n v="-8203.52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6-05T00:00:00"/>
    <d v="2026-06-05T00:00:00"/>
    <x v="32"/>
    <x v="5"/>
    <x v="1"/>
    <x v="6"/>
    <n v="-1145.5999999999999"/>
    <n v="0"/>
    <n v="-1145.5999999999999"/>
    <s v="Caixinha"/>
    <s v="3.13 ESQUADRIAS EM ALUMINIO - JANELAS EXTERNAS"/>
    <s v=" Fita crepe 48 mm x 50 m"/>
    <s v="Conta a Pagar"/>
    <s v="N/D"/>
    <s v="N/D"/>
    <s v="Outros"/>
    <x v="4"/>
  </r>
  <r>
    <m/>
    <m/>
    <d v="2026-06-05T00:00:00"/>
    <d v="2026-06-05T00:00:00"/>
    <x v="29"/>
    <x v="5"/>
    <x v="1"/>
    <x v="7"/>
    <n v="-3001.6"/>
    <n v="0"/>
    <n v="-3001.6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5-22T00:00:00"/>
    <d v="2026-05-22T00:00:00"/>
    <x v="30"/>
    <x v="5"/>
    <x v="1"/>
    <x v="7"/>
    <n v="-2998.4"/>
    <n v="0"/>
    <n v="-2998.4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6-05T00:00:00"/>
    <d v="2026-06-05T00:00:00"/>
    <x v="32"/>
    <x v="5"/>
    <x v="1"/>
    <x v="6"/>
    <n v="-1488"/>
    <n v="0"/>
    <n v="-1488"/>
    <s v="Caixinha"/>
    <s v="3.13 ESQUADRIAS EM ALUMINIO - JANELAS EXTERNAS"/>
    <s v=" Impermeabilizante bi componente semi flexível - IMPER TOP 512 ( 2 demaos - 1,8 kg/m²)"/>
    <s v="Conta a Pagar"/>
    <s v="N/D"/>
    <s v="N/D"/>
    <s v="Outros"/>
    <x v="4"/>
  </r>
  <r>
    <m/>
    <m/>
    <d v="2026-06-05T00:00:00"/>
    <d v="2026-06-05T00:00:00"/>
    <x v="32"/>
    <x v="5"/>
    <x v="1"/>
    <x v="6"/>
    <n v="-540.79999999999995"/>
    <n v="0"/>
    <n v="-540.79999999999995"/>
    <s v="Caixinha"/>
    <s v="3.13 ESQUADRIAS EM ALUMINIO - JANELAS EXTERNAS"/>
    <s v=" Parafuso panela fenda/phillips 4,8 x 50 mm - INOX"/>
    <s v="Conta a Pagar"/>
    <s v="N/D"/>
    <s v="N/D"/>
    <s v="Outros"/>
    <x v="4"/>
  </r>
  <r>
    <m/>
    <m/>
    <d v="2026-06-05T00:00:00"/>
    <d v="2026-06-05T00:00:00"/>
    <x v="32"/>
    <x v="5"/>
    <x v="1"/>
    <x v="8"/>
    <n v="-4025.6"/>
    <n v="0"/>
    <n v="-4025.6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03T00:00:00"/>
    <d v="2026-07-03T00:00:00"/>
    <x v="33"/>
    <x v="5"/>
    <x v="1"/>
    <x v="8"/>
    <n v="-29145.599999999999"/>
    <n v="0"/>
    <n v="-29145.5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7-03T00:00:00"/>
    <d v="2026-07-03T00:00:00"/>
    <x v="33"/>
    <x v="5"/>
    <x v="1"/>
    <x v="8"/>
    <n v="-7962.24"/>
    <n v="0"/>
    <n v="-7962.24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7-03T00:00:00"/>
    <d v="2026-07-03T00:00:00"/>
    <x v="33"/>
    <x v="5"/>
    <x v="1"/>
    <x v="8"/>
    <n v="-3907.2"/>
    <n v="0"/>
    <n v="-3907.2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03T00:00:00"/>
    <d v="2026-07-03T00:00:00"/>
    <x v="33"/>
    <x v="5"/>
    <x v="1"/>
    <x v="6"/>
    <n v="-812.8"/>
    <n v="0"/>
    <n v="-812.8"/>
    <s v="Caixinha"/>
    <s v="3.13 ESQUADRIAS EM ALUMINIO - JANELAS EXTERNAS"/>
    <s v=" Espuma Expansiva de Poliuretano 300ml"/>
    <s v="Conta a Pagar"/>
    <s v="N/D"/>
    <s v="N/D"/>
    <s v="Outros"/>
    <x v="4"/>
  </r>
  <r>
    <m/>
    <m/>
    <d v="2026-07-03T00:00:00"/>
    <d v="2026-07-03T00:00:00"/>
    <x v="34"/>
    <x v="5"/>
    <x v="1"/>
    <x v="7"/>
    <n v="-15217.6"/>
    <n v="0"/>
    <n v="-15217.6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7-03T00:00:00"/>
    <d v="2026-07-03T00:00:00"/>
    <x v="33"/>
    <x v="5"/>
    <x v="1"/>
    <x v="6"/>
    <n v="-540.79999999999995"/>
    <n v="0"/>
    <n v="-540.79999999999995"/>
    <s v="Caixinha"/>
    <s v="3.13 ESQUADRIAS EM ALUMINIO - JANELAS EXTERNAS"/>
    <s v=" Parafuso panela fenda/phillips 4,8 x 50 mm - INOX"/>
    <s v="Conta a Pagar"/>
    <s v="N/D"/>
    <s v="N/D"/>
    <s v="Outros"/>
    <x v="4"/>
  </r>
  <r>
    <m/>
    <m/>
    <d v="2026-07-03T00:00:00"/>
    <d v="2026-07-03T00:00:00"/>
    <x v="33"/>
    <x v="5"/>
    <x v="1"/>
    <x v="6"/>
    <n v="-1920"/>
    <n v="0"/>
    <n v="-1920"/>
    <s v="Caixinha"/>
    <s v="3.13 ESQUADRIAS EM ALUMINIO - JANELAS EXTERNAS"/>
    <s v=" Selante acrilico c / 390 g - TECKBOND"/>
    <s v="Conta a Pagar"/>
    <s v="N/D"/>
    <s v="N/D"/>
    <s v="Outros"/>
    <x v="4"/>
  </r>
  <r>
    <m/>
    <m/>
    <d v="2026-07-03T00:00:00"/>
    <d v="2026-07-03T00:00:00"/>
    <x v="33"/>
    <x v="5"/>
    <x v="1"/>
    <x v="6"/>
    <n v="-166.4"/>
    <n v="0"/>
    <n v="-166.4"/>
    <s v="Caixinha"/>
    <s v="3.13 ESQUADRIAS EM ALUMINIO - JANELAS EXTERNAS"/>
    <s v=" Bucha 6 mm para concreto"/>
    <s v="Conta a Pagar"/>
    <s v="N/D"/>
    <s v="N/D"/>
    <s v="Outros"/>
    <x v="4"/>
  </r>
  <r>
    <m/>
    <m/>
    <d v="2026-07-03T00:00:00"/>
    <d v="2026-07-03T00:00:00"/>
    <x v="33"/>
    <x v="5"/>
    <x v="1"/>
    <x v="6"/>
    <n v="-1145.5999999999999"/>
    <n v="0"/>
    <n v="-1145.5999999999999"/>
    <s v="Caixinha"/>
    <s v="3.13 ESQUADRIAS EM ALUMINIO - JANELAS EXTERNAS"/>
    <s v=" Fita crepe 48 mm x 50 m"/>
    <s v="Conta a Pagar"/>
    <s v="N/D"/>
    <s v="N/D"/>
    <s v="Outros"/>
    <x v="4"/>
  </r>
  <r>
    <m/>
    <m/>
    <d v="2026-07-03T00:00:00"/>
    <d v="2026-07-03T00:00:00"/>
    <x v="33"/>
    <x v="5"/>
    <x v="1"/>
    <x v="6"/>
    <n v="-1488"/>
    <n v="0"/>
    <n v="-1488"/>
    <s v="Caixinha"/>
    <s v="3.13 ESQUADRIAS EM ALUMINIO - JANELAS EXTERNAS"/>
    <s v=" Impermeabilizante bi componente semi flexível - IMPER TOP 512 ( 2 demaos - 1,8 kg/m²)"/>
    <s v="Conta a Pagar"/>
    <s v="N/D"/>
    <s v="N/D"/>
    <s v="Outros"/>
    <x v="4"/>
  </r>
  <r>
    <m/>
    <m/>
    <d v="2026-06-19T00:00:00"/>
    <d v="2026-06-19T00:00:00"/>
    <x v="31"/>
    <x v="5"/>
    <x v="1"/>
    <x v="7"/>
    <n v="-10782.4"/>
    <n v="0"/>
    <n v="-10782.4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7-31T00:00:00"/>
    <d v="2026-07-31T00:00:00"/>
    <x v="35"/>
    <x v="5"/>
    <x v="1"/>
    <x v="8"/>
    <n v="-7962.24"/>
    <n v="0"/>
    <n v="-7962.24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7-31T00:00:00"/>
    <d v="2026-07-31T00:00:00"/>
    <x v="35"/>
    <x v="5"/>
    <x v="1"/>
    <x v="8"/>
    <n v="-3907.2"/>
    <n v="0"/>
    <n v="-3907.2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31T00:00:00"/>
    <d v="2026-07-31T00:00:00"/>
    <x v="35"/>
    <x v="5"/>
    <x v="1"/>
    <x v="8"/>
    <n v="-29145.599999999999"/>
    <n v="0"/>
    <n v="-29145.5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5-08T00:00:00"/>
    <d v="2026-05-08T00:00:00"/>
    <x v="29"/>
    <x v="5"/>
    <x v="1"/>
    <x v="7"/>
    <n v="-5404.15"/>
    <n v="0"/>
    <n v="-8642.0300000000007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4-24T00:00:00"/>
    <d v="2026-04-24T00:00:00"/>
    <x v="31"/>
    <x v="5"/>
    <x v="1"/>
    <x v="7"/>
    <n v="-5398.39"/>
    <n v="0"/>
    <n v="-8642.0300000000007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5-08T00:00:00"/>
    <d v="2026-05-08T00:00:00"/>
    <x v="30"/>
    <x v="5"/>
    <x v="1"/>
    <x v="10"/>
    <n v="-14035.2"/>
    <n v="0"/>
    <n v="-14035.2"/>
    <s v="Caixinha"/>
    <s v="3.14  MASSA NIVELADORA"/>
    <s v=" Massa fina acabamento 18kg - branca"/>
    <s v="Conta a Pagar"/>
    <s v="N/D"/>
    <s v="N/D"/>
    <s v="Outros"/>
    <x v="4"/>
  </r>
  <r>
    <m/>
    <m/>
    <d v="2026-05-08T00:00:00"/>
    <d v="2026-05-08T00:00:00"/>
    <x v="4"/>
    <x v="5"/>
    <x v="1"/>
    <x v="10"/>
    <n v="-1936.64"/>
    <n v="0"/>
    <n v="-1936.64"/>
    <s v="Caixinha"/>
    <s v="3.14  MASSA NIVELADORA"/>
    <s v=" Lixa grao 150 -"/>
    <s v="Conta a Pagar"/>
    <s v="N/D"/>
    <s v="N/D"/>
    <s v="Outros"/>
    <x v="4"/>
  </r>
  <r>
    <m/>
    <m/>
    <d v="2026-06-05T00:00:00"/>
    <d v="2026-06-05T00:00:00"/>
    <x v="34"/>
    <x v="5"/>
    <x v="1"/>
    <x v="7"/>
    <n v="-12819.01"/>
    <n v="0"/>
    <n v="-20164.73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5-22T00:00:00"/>
    <d v="2026-05-22T00:00:00"/>
    <x v="36"/>
    <x v="5"/>
    <x v="1"/>
    <x v="7"/>
    <n v="-19412.87"/>
    <n v="0"/>
    <n v="-20164.73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6-05T00:00:00"/>
    <d v="2026-06-05T00:00:00"/>
    <x v="25"/>
    <x v="5"/>
    <x v="1"/>
    <x v="10"/>
    <n v="-1879.68"/>
    <n v="0"/>
    <n v="-1879.68"/>
    <s v="Caixinha"/>
    <s v="3.14  MASSA NIVELADORA"/>
    <s v=" Lixa grao 150 -"/>
    <s v="Conta a Pagar"/>
    <s v="N/D"/>
    <s v="N/D"/>
    <s v="Outros"/>
    <x v="4"/>
  </r>
  <r>
    <m/>
    <m/>
    <d v="2026-06-05T00:00:00"/>
    <d v="2026-06-05T00:00:00"/>
    <x v="37"/>
    <x v="5"/>
    <x v="1"/>
    <x v="10"/>
    <n v="-13622.4"/>
    <n v="0"/>
    <n v="-13622.4"/>
    <s v="Caixinha"/>
    <s v="3.14  MASSA NIVELADORA"/>
    <s v=" Massa fina acabamento 18kg - branca"/>
    <s v="Conta a Pagar"/>
    <s v="N/D"/>
    <s v="N/D"/>
    <s v="Outros"/>
    <x v="4"/>
  </r>
  <r>
    <m/>
    <m/>
    <d v="2026-07-03T00:00:00"/>
    <d v="2026-07-03T00:00:00"/>
    <x v="26"/>
    <x v="5"/>
    <x v="1"/>
    <x v="10"/>
    <n v="-1879.68"/>
    <n v="0"/>
    <n v="-1879.68"/>
    <s v="Caixinha"/>
    <s v="3.14  MASSA NIVELADORA"/>
    <s v=" Lixa grao 150 -"/>
    <s v="Conta a Pagar"/>
    <s v="N/D"/>
    <s v="N/D"/>
    <s v="Outros"/>
    <x v="4"/>
  </r>
  <r>
    <m/>
    <m/>
    <d v="2026-07-03T00:00:00"/>
    <d v="2026-07-03T00:00:00"/>
    <x v="38"/>
    <x v="5"/>
    <x v="1"/>
    <x v="10"/>
    <n v="-13622.4"/>
    <n v="0"/>
    <n v="-13622.4"/>
    <s v="Caixinha"/>
    <s v="3.14  MASSA NIVELADORA"/>
    <s v=" Massa fina acabamento 18kg - branca"/>
    <s v="Conta a Pagar"/>
    <s v="N/D"/>
    <s v="N/D"/>
    <s v="Outros"/>
    <x v="4"/>
  </r>
  <r>
    <m/>
    <m/>
    <d v="2026-06-19T00:00:00"/>
    <d v="2026-06-19T00:00:00"/>
    <x v="31"/>
    <x v="5"/>
    <x v="1"/>
    <x v="7"/>
    <n v="-14579.1"/>
    <n v="0"/>
    <n v="0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m/>
    <m/>
    <x v="28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28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28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28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28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28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28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28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28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28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28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28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28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28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28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28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28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28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28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28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28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28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28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28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28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28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28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28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28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28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28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28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m/>
    <m/>
    <x v="27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27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27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27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27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27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27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27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27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27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27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27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27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27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27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27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27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27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27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27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27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27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27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27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27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27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27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27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27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27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27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27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m/>
    <m/>
    <x v="30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30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30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30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30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30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30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30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30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30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30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30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30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30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30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30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30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30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30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30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30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30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30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30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30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30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30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30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30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d v="2026-06-05T00:00:00"/>
    <d v="2026-06-05T00:00:00"/>
    <x v="30"/>
    <x v="5"/>
    <x v="1"/>
    <x v="10"/>
    <n v="-17017.599999999999"/>
    <n v="0"/>
    <n v="-17017.599999999999"/>
    <s v="Caixinha"/>
    <s v="3.16  PINTURA INTERNA"/>
    <s v=" TINTA ACRILICA CORALAR BRANCO 18 LITROS - laje (  cor BRANCA  ou similar) - 2 demaos"/>
    <s v="Conta a Pagar"/>
    <s v="N/D"/>
    <s v="N/D"/>
    <s v="Outros"/>
    <x v="4"/>
  </r>
  <r>
    <m/>
    <m/>
    <d v="2026-06-05T00:00:00"/>
    <d v="2026-06-05T00:00:00"/>
    <x v="30"/>
    <x v="5"/>
    <x v="1"/>
    <x v="10"/>
    <n v="-1164.8"/>
    <n v="0"/>
    <n v="-1164.8"/>
    <s v="Caixinha"/>
    <s v="3.16  PINTURA INTERNA"/>
    <s v=" Fira crepe 50 mm x 50 m"/>
    <s v="Conta a Pagar"/>
    <s v="N/D"/>
    <s v="N/D"/>
    <s v="Outros"/>
    <x v="4"/>
  </r>
  <r>
    <m/>
    <m/>
    <d v="2026-04-24T00:00:00"/>
    <d v="2026-05-26T00:00:00"/>
    <x v="29"/>
    <x v="5"/>
    <x v="1"/>
    <x v="7"/>
    <n v="-3003.39"/>
    <n v="0"/>
    <n v="-4807.99"/>
    <s v="Caixinha"/>
    <s v="3.17  PINTURA EXT."/>
    <s v=" Mao de obra terceirizada Textura externa"/>
    <s v="Conta a Pagar"/>
    <s v="N/D"/>
    <s v="N/D"/>
    <s v="Outros"/>
    <x v="4"/>
  </r>
  <r>
    <m/>
    <m/>
    <d v="2026-05-08T00:00:00"/>
    <d v="2026-06-09T00:00:00"/>
    <x v="31"/>
    <x v="5"/>
    <x v="1"/>
    <x v="7"/>
    <n v="-3006.59"/>
    <n v="0"/>
    <n v="-4807.99"/>
    <s v="Caixinha"/>
    <s v="3.17  PINTURA EXT."/>
    <s v=" Mao de obra terceirizada Textura externa"/>
    <s v="Conta a Pagar"/>
    <s v="N/D"/>
    <s v="N/D"/>
    <s v="Outros"/>
    <x v="4"/>
  </r>
  <r>
    <m/>
    <m/>
    <d v="2026-07-03T00:00:00"/>
    <d v="2026-07-03T00:00:00"/>
    <x v="37"/>
    <x v="5"/>
    <x v="1"/>
    <x v="10"/>
    <n v="-17017.599999999999"/>
    <n v="0"/>
    <n v="-17017.599999999999"/>
    <s v="Caixinha"/>
    <s v="3.16  PINTURA INTERNA"/>
    <s v=" TINTA ACRILICA CORALAR BRANCO 18 LITROS - laje (  cor BRANCA  ou similar) - 2 demaos"/>
    <s v="Conta a Pagar"/>
    <s v="N/D"/>
    <s v="N/D"/>
    <s v="Outros"/>
    <x v="4"/>
  </r>
  <r>
    <m/>
    <m/>
    <d v="2026-07-03T00:00:00"/>
    <d v="2026-07-03T00:00:00"/>
    <x v="37"/>
    <x v="5"/>
    <x v="1"/>
    <x v="10"/>
    <n v="-1164.8"/>
    <n v="0"/>
    <n v="-1164.8"/>
    <s v="Caixinha"/>
    <s v="3.16  PINTURA INTERNA"/>
    <s v=" Fira crepe 50 mm x 50 m"/>
    <s v="Conta a Pagar"/>
    <s v="N/D"/>
    <s v="N/D"/>
    <s v="Outros"/>
    <x v="4"/>
  </r>
  <r>
    <m/>
    <m/>
    <d v="2026-06-05T00:00:00"/>
    <d v="2026-06-05T00:00:00"/>
    <x v="29"/>
    <x v="5"/>
    <x v="1"/>
    <x v="7"/>
    <n v="-5102.72"/>
    <n v="0"/>
    <n v="-816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6-19T00:00:00"/>
    <d v="2026-06-19T00:00:00"/>
    <x v="31"/>
    <x v="5"/>
    <x v="1"/>
    <x v="7"/>
    <n v="-8111.07"/>
    <n v="0"/>
    <n v="0"/>
    <s v="Caixinha"/>
    <s v="3.17  PINTURA EXT."/>
    <s v=" Mao de obra terceirizada Textura externa"/>
    <s v="Conta a Pagar"/>
    <s v="N/D"/>
    <s v="N/D"/>
    <s v="Outros"/>
    <x v="4"/>
  </r>
  <r>
    <m/>
    <m/>
    <d v="2026-05-22T00:00:00"/>
    <d v="2026-06-23T00:00:00"/>
    <x v="31"/>
    <x v="5"/>
    <x v="1"/>
    <x v="7"/>
    <n v="-5097.28"/>
    <n v="0"/>
    <n v="-816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5-22T00:00:00"/>
    <d v="2026-05-22T00:00:00"/>
    <x v="34"/>
    <x v="5"/>
    <x v="1"/>
    <x v="7"/>
    <n v="-10800.34"/>
    <n v="0"/>
    <n v="-11218.64"/>
    <s v="Caixinha"/>
    <s v="3.17  PINTURA EXT."/>
    <s v=" Mao de obra terceirizada Textura externa"/>
    <s v="Conta a Pagar"/>
    <s v="N/D"/>
    <s v="N/D"/>
    <s v="Outros"/>
    <x v="4"/>
  </r>
  <r>
    <m/>
    <m/>
    <d v="2026-05-08T00:00:00"/>
    <d v="2026-05-08T00:00:00"/>
    <x v="30"/>
    <x v="5"/>
    <x v="1"/>
    <x v="10"/>
    <n v="-24000"/>
    <n v="0"/>
    <n v="-24000"/>
    <s v="Caixinha"/>
    <s v="3.17  PINTURA EXT."/>
    <s v=" Textura elastomerica na cor"/>
    <s v="Conta a Pagar"/>
    <s v="N/D"/>
    <s v="N/D"/>
    <s v="Outros"/>
    <x v="4"/>
  </r>
  <r>
    <m/>
    <m/>
    <d v="2026-06-05T00:00:00"/>
    <d v="2026-06-05T00:00:00"/>
    <x v="37"/>
    <x v="5"/>
    <x v="1"/>
    <x v="10"/>
    <n v="-24000"/>
    <n v="0"/>
    <n v="-24000"/>
    <s v="Caixinha"/>
    <s v="3.17  PINTURA EXT."/>
    <s v=" Textura elastomerica na cor"/>
    <s v="Conta a Pagar"/>
    <s v="N/D"/>
    <s v="N/D"/>
    <s v="Outros"/>
    <x v="4"/>
  </r>
  <r>
    <m/>
    <m/>
    <d v="2026-07-03T00:00:00"/>
    <d v="2026-07-03T00:00:00"/>
    <x v="34"/>
    <x v="5"/>
    <x v="1"/>
    <x v="7"/>
    <n v="-25869.919999999998"/>
    <n v="0"/>
    <n v="-1904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6-05T00:00:00"/>
    <d v="2026-06-05T00:00:00"/>
    <x v="36"/>
    <x v="5"/>
    <x v="1"/>
    <x v="7"/>
    <n v="-7131.85"/>
    <n v="0"/>
    <n v="-11218.64"/>
    <s v="Caixinha"/>
    <s v="3.17  PINTURA EXT."/>
    <s v=" Mao de obra terceirizada Textura externa"/>
    <s v="Conta a Pagar"/>
    <s v="N/D"/>
    <s v="N/D"/>
    <s v="Outros"/>
    <x v="4"/>
  </r>
  <r>
    <m/>
    <m/>
    <d v="2026-06-19T00:00:00"/>
    <d v="2026-06-19T00:00:00"/>
    <x v="36"/>
    <x v="5"/>
    <x v="1"/>
    <x v="7"/>
    <n v="-18330.080000000002"/>
    <n v="0"/>
    <n v="-1904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7-17T00:00:00"/>
    <d v="2026-07-17T00:00:00"/>
    <x v="36"/>
    <x v="5"/>
    <x v="1"/>
    <x v="7"/>
    <n v="-25877.759999999998"/>
    <n v="0"/>
    <n v="-25877.759999999998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preto"/>
    <s v="Conta a Pagar"/>
    <s v="N/D"/>
    <s v="N/D"/>
    <s v="Outros"/>
    <x v="4"/>
  </r>
  <r>
    <m/>
    <m/>
    <d v="2026-07-03T00:00:00"/>
    <d v="2026-07-03T00:00:00"/>
    <x v="26"/>
    <x v="5"/>
    <x v="1"/>
    <x v="12"/>
    <n v="-1545.6"/>
    <n v="0"/>
    <n v="-1545.6"/>
    <s v="Caixinha"/>
    <s v="3.18 ELETRICA EFIAÇÃO + TOMADAS"/>
    <s v=" LAMPADA LED 10 W B"/>
    <s v="Conta a Pagar"/>
    <s v="N/D"/>
    <s v="N/D"/>
    <s v="Outros"/>
    <x v="4"/>
  </r>
  <r>
    <m/>
    <m/>
    <d v="2026-07-03T00:00:00"/>
    <d v="2026-07-03T00:00:00"/>
    <x v="26"/>
    <x v="5"/>
    <x v="1"/>
    <x v="12"/>
    <n v="-1682.24"/>
    <n v="0"/>
    <n v="-1682.24"/>
    <s v="Caixinha"/>
    <s v="3.18 ELETRICA EFIAÇÃO + TOMADAS"/>
    <s v=" Plafon branco para lampada soquete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1219.8399999999999"/>
    <n v="0"/>
    <n v="-1219.8399999999999"/>
    <s v="Caixinha"/>
    <s v="3.18 ELETRICA EFIAÇÃO + TOMADAS"/>
    <s v=" Placa p/ 2 funções"/>
    <s v="Conta a Pagar"/>
    <s v="N/D"/>
    <s v="N/D"/>
    <s v="Outros"/>
    <x v="4"/>
  </r>
  <r>
    <m/>
    <m/>
    <d v="2026-07-03T00:00:00"/>
    <d v="2026-07-03T00:00:00"/>
    <x v="26"/>
    <x v="5"/>
    <x v="1"/>
    <x v="12"/>
    <n v="-540.79999999999995"/>
    <n v="0"/>
    <n v="-540.79999999999995"/>
    <s v="Caixinha"/>
    <s v="3.18 ELETRICA EFIAÇÃO + TOMADAS"/>
    <s v=" Arandela tipo tartaruga para uso externo com grade na cor branca com lampada"/>
    <s v="Conta a Pagar"/>
    <s v="N/D"/>
    <s v="N/D"/>
    <s v="Outros"/>
    <x v="4"/>
  </r>
  <r>
    <m/>
    <m/>
    <d v="2026-07-03T00:00:00"/>
    <d v="2026-07-03T00:00:00"/>
    <x v="34"/>
    <x v="5"/>
    <x v="1"/>
    <x v="7"/>
    <n v="-7203.84"/>
    <n v="0"/>
    <n v="-7203.84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104"/>
    <n v="0"/>
    <n v="-5104"/>
    <s v="Caixinha"/>
    <s v="3.18 ELETRICA EFIAÇÃO + TOMADAS"/>
    <s v=" Tomada universal retangular simples 2P+T 15A"/>
    <s v="Conta a Pagar"/>
    <s v="N/D"/>
    <s v="N/D"/>
    <s v="Outros"/>
    <x v="4"/>
  </r>
  <r>
    <m/>
    <m/>
    <d v="2026-07-03T00:00:00"/>
    <d v="2026-07-03T00:00:00"/>
    <x v="26"/>
    <x v="5"/>
    <x v="1"/>
    <x v="12"/>
    <n v="-4160"/>
    <n v="0"/>
    <n v="-4160"/>
    <s v="Caixinha"/>
    <s v="3.18 ELETRICA EFIAÇÃO + TOMADAS"/>
    <s v=" Kit tampa quadro de distribuição 6 disjuntores"/>
    <s v="Conta a Pagar"/>
    <s v="N/D"/>
    <s v="N/D"/>
    <s v="Outros"/>
    <x v="4"/>
  </r>
  <r>
    <m/>
    <m/>
    <d v="2026-07-03T00:00:00"/>
    <d v="2026-07-03T00:00:00"/>
    <x v="26"/>
    <x v="5"/>
    <x v="1"/>
    <x v="12"/>
    <n v="-1276.8"/>
    <n v="0"/>
    <n v="-1276.8"/>
    <s v="Caixinha"/>
    <s v="3.18 ELETRICA EFIAÇÃO + TOMADAS"/>
    <s v=" Campainha Cigarra + 1 Tecla Campainha Pollar Radial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482.24"/>
    <n v="0"/>
    <n v="-482.24"/>
    <s v="Caixinha"/>
    <s v="3.18 ELETRICA EFIAÇÃO + TOMADAS"/>
    <s v=" Disjuntor unipolar termomagnético DIN 60A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161.6"/>
    <n v="0"/>
    <n v="-161.6"/>
    <s v="Caixinha"/>
    <s v="3.18 ELETRICA EFIAÇÃO + TOMADAS"/>
    <s v=" Placa 2x4&quot; p/ 1 função redonda telefone"/>
    <s v="Conta a Pagar"/>
    <s v="N/D"/>
    <s v="N/D"/>
    <s v="Outros"/>
    <x v="4"/>
  </r>
  <r>
    <m/>
    <m/>
    <d v="2026-07-03T00:00:00"/>
    <d v="2026-07-03T00:00:00"/>
    <x v="26"/>
    <x v="5"/>
    <x v="1"/>
    <x v="12"/>
    <n v="-668.8"/>
    <n v="0"/>
    <n v="-668.8"/>
    <s v="Caixinha"/>
    <s v="3.18 ELETRICA EFIAÇÃO + TOMADAS"/>
    <s v=" Arandela do tipo meia-lua de sobrepor cor branca com lâmpada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3782.4"/>
    <n v="0"/>
    <n v="-3782.4"/>
    <s v="Caixinha"/>
    <s v="3.18 ELETRICA EFIAÇÃO + TOMADAS"/>
    <s v=" Placa p/ 1 função"/>
    <s v="Conta a Pagar"/>
    <s v="N/D"/>
    <s v="N/D"/>
    <s v="Outros"/>
    <x v="4"/>
  </r>
  <r>
    <m/>
    <m/>
    <d v="2026-07-03T00:00:00"/>
    <d v="2026-07-03T00:00:00"/>
    <x v="26"/>
    <x v="5"/>
    <x v="1"/>
    <x v="12"/>
    <n v="-552"/>
    <n v="0"/>
    <n v="-552"/>
    <s v="Caixinha"/>
    <s v="3.18 ELETRICA EFIAÇÃO + TOMADAS"/>
    <s v=" Kit 1 Barramento Neutro + 1 Barramento Terra sem Proteção HC-004 80A | 12 Entradas"/>
    <s v="Conta a Pagar"/>
    <s v="N/D"/>
    <s v="N/D"/>
    <s v="Outros"/>
    <x v="4"/>
  </r>
  <r>
    <m/>
    <m/>
    <d v="2026-07-03T00:00:00"/>
    <d v="2026-07-03T00:00:00"/>
    <x v="26"/>
    <x v="5"/>
    <x v="1"/>
    <x v="12"/>
    <n v="-255.36"/>
    <n v="0"/>
    <n v="-255.36"/>
    <s v="Caixinha"/>
    <s v="3.18 ELETRICA EFIAÇÃO + TOMADAS"/>
    <s v=" Cabo unipolar 1.5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255.36"/>
    <n v="0"/>
    <n v="-255.36"/>
    <s v="Caixinha"/>
    <s v="3.18 ELETRICA EFIAÇÃO + TOMADAS"/>
    <s v=" Cabo unipolar 1.5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415.68"/>
    <n v="0"/>
    <n v="-415.68"/>
    <s v="Caixinha"/>
    <s v="3.18 ELETRICA EFIAÇÃO + TOMADAS"/>
    <s v=" Placa 2x4&quot; tomada TV/SAT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621.44000000000005"/>
    <n v="0"/>
    <n v="-621.44000000000005"/>
    <s v="Caixinha"/>
    <s v="3.18 ELETRICA EFIAÇÃO + TOMADAS"/>
    <s v=" Interruptor 1 tecla simples"/>
    <s v="Conta a Pagar"/>
    <s v="N/D"/>
    <s v="N/D"/>
    <s v="Outros"/>
    <x v="4"/>
  </r>
  <r>
    <m/>
    <m/>
    <d v="2026-07-03T00:00:00"/>
    <d v="2026-07-03T00:00:00"/>
    <x v="26"/>
    <x v="5"/>
    <x v="1"/>
    <x v="12"/>
    <n v="-1200"/>
    <n v="0"/>
    <n v="-1200"/>
    <s v="Caixinha"/>
    <s v="3.18 ELETRICA EFIAÇÃO + TOMADAS"/>
    <s v=" Fita isolante preta 20 metros"/>
    <s v="Conta a Pagar"/>
    <s v="N/D"/>
    <s v="N/D"/>
    <s v="Outros"/>
    <x v="4"/>
  </r>
  <r>
    <m/>
    <m/>
    <d v="2026-07-03T00:00:00"/>
    <d v="2026-07-03T00:00:00"/>
    <x v="26"/>
    <x v="5"/>
    <x v="1"/>
    <x v="12"/>
    <n v="-181.44"/>
    <n v="0"/>
    <n v="-181.44"/>
    <s v="Caixinha"/>
    <s v="3.18 ELETRICA EFIAÇÃO + TOMADAS"/>
    <s v=" Tomada telefone redonda 4P"/>
    <s v="Conta a Pagar"/>
    <s v="N/D"/>
    <s v="N/D"/>
    <s v="Outros"/>
    <x v="4"/>
  </r>
  <r>
    <m/>
    <m/>
    <d v="2026-06-19T00:00:00"/>
    <d v="2026-06-19T00:00:00"/>
    <x v="31"/>
    <x v="5"/>
    <x v="1"/>
    <x v="7"/>
    <n v="-7196.16"/>
    <n v="0"/>
    <n v="-7196.16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601.63"/>
    <n v="0"/>
    <n v="-5601.63"/>
    <s v="Caixinha"/>
    <s v="3.18 ELETRICA EFIAÇÃO + TOMADAS"/>
    <s v=" Cabo unipolar 10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1097.5999999999999"/>
    <n v="0"/>
    <n v="-1097.5999999999999"/>
    <s v="Caixinha"/>
    <s v="3.18 ELETRICA EFIAÇÃO + TOMADAS"/>
    <s v=" Interruptor 2 teclas simples"/>
    <s v="Conta a Pagar"/>
    <s v="N/D"/>
    <s v="N/D"/>
    <s v="Outros"/>
    <x v="4"/>
  </r>
  <r>
    <m/>
    <m/>
    <d v="2026-07-03T00:00:00"/>
    <d v="2026-07-03T00:00:00"/>
    <x v="26"/>
    <x v="5"/>
    <x v="1"/>
    <x v="12"/>
    <n v="-1429.76"/>
    <n v="0"/>
    <n v="-1429.76"/>
    <s v="Caixinha"/>
    <s v="3.18 ELETRICA EFIAÇÃO + TOMADAS"/>
    <s v=" Interruptor 1 tecla simples + tomada hexagonal NBR14136"/>
    <s v="Conta a Pagar"/>
    <s v="N/D"/>
    <s v="N/D"/>
    <s v="Outros"/>
    <x v="4"/>
  </r>
  <r>
    <m/>
    <m/>
    <d v="2026-07-03T00:00:00"/>
    <d v="2026-07-03T00:00:00"/>
    <x v="26"/>
    <x v="5"/>
    <x v="1"/>
    <x v="12"/>
    <n v="-2104.96"/>
    <n v="0"/>
    <n v="-2104.96"/>
    <s v="Caixinha"/>
    <s v="3.18 ELETRICA EFIAÇÃO + TOMADAS"/>
    <s v=" CHUVEIRO, COM CANO, 3 TEMPERATURAS, 5500 W (110/220 V)"/>
    <s v="Conta a Pagar"/>
    <s v="N/D"/>
    <s v="N/D"/>
    <s v="Outros"/>
    <x v="4"/>
  </r>
  <r>
    <m/>
    <m/>
    <d v="2026-07-03T00:00:00"/>
    <d v="2026-07-03T00:00:00"/>
    <x v="26"/>
    <x v="5"/>
    <x v="1"/>
    <x v="12"/>
    <n v="-1142.4000000000001"/>
    <n v="0"/>
    <n v="-1142.4000000000001"/>
    <s v="Caixinha"/>
    <s v="3.18 ELETRICA EFIAÇÃO + TOMADAS"/>
    <s v=" Disjuntor unipolar termomagnético DIN 15A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161.6"/>
    <n v="0"/>
    <n v="-161.6"/>
    <s v="Caixinha"/>
    <s v="3.18 ELETRICA EFIAÇÃO + TOMADAS"/>
    <s v=" Placa 2x4&quot; p/ 1 função redonda telefone"/>
    <s v="Conta a Pagar"/>
    <s v="N/D"/>
    <s v="N/D"/>
    <s v="Outros"/>
    <x v="4"/>
  </r>
  <r>
    <m/>
    <m/>
    <d v="2026-07-31T00:00:00"/>
    <d v="2026-07-31T00:00:00"/>
    <x v="23"/>
    <x v="5"/>
    <x v="1"/>
    <x v="12"/>
    <n v="-1142.4000000000001"/>
    <n v="0"/>
    <n v="-1142.4000000000001"/>
    <s v="Caixinha"/>
    <s v="3.18 ELETRICA EFIAÇÃO + TOMADAS"/>
    <s v=" Disjuntor unipolar termomagnético DIN 15A"/>
    <s v="Conta a Pagar"/>
    <s v="N/D"/>
    <s v="N/D"/>
    <s v="Outros"/>
    <x v="4"/>
  </r>
  <r>
    <m/>
    <m/>
    <d v="2026-07-31T00:00:00"/>
    <d v="2026-07-31T00:00:00"/>
    <x v="23"/>
    <x v="5"/>
    <x v="1"/>
    <x v="12"/>
    <n v="-552"/>
    <n v="0"/>
    <n v="-552"/>
    <s v="Caixinha"/>
    <s v="3.18 ELETRICA EFIAÇÃO + TOMADAS"/>
    <s v=" Kit 1 Barramento Neutro + 1 Barramento Terra sem Proteção HC-004 80A | 12 Entradas"/>
    <s v="Conta a Pagar"/>
    <s v="N/D"/>
    <s v="N/D"/>
    <s v="Outros"/>
    <x v="4"/>
  </r>
  <r>
    <m/>
    <m/>
    <d v="2026-07-31T00:00:00"/>
    <d v="2026-07-31T00:00:00"/>
    <x v="23"/>
    <x v="5"/>
    <x v="1"/>
    <x v="12"/>
    <n v="-4160"/>
    <n v="0"/>
    <n v="-4160"/>
    <s v="Caixinha"/>
    <s v="3.18 ELETRICA EFIAÇÃO + TOMADAS"/>
    <s v=" Kit tampa quadro de distribuição 6 disjuntores"/>
    <s v="Conta a Pagar"/>
    <s v="N/D"/>
    <s v="N/D"/>
    <s v="Outros"/>
    <x v="4"/>
  </r>
  <r>
    <m/>
    <m/>
    <d v="2026-07-31T00:00:00"/>
    <d v="2026-07-31T00:00:00"/>
    <x v="23"/>
    <x v="5"/>
    <x v="1"/>
    <x v="12"/>
    <n v="-1545.6"/>
    <n v="0"/>
    <n v="-1545.6"/>
    <s v="Caixinha"/>
    <s v="3.18 ELETRICA EFIAÇÃO + TOMADAS"/>
    <s v=" LAMPADA LED 10 W B"/>
    <s v="Conta a Pagar"/>
    <s v="N/D"/>
    <s v="N/D"/>
    <s v="Outros"/>
    <x v="4"/>
  </r>
  <r>
    <m/>
    <m/>
    <d v="2026-07-31T00:00:00"/>
    <d v="2026-07-31T00:00:00"/>
    <x v="23"/>
    <x v="5"/>
    <x v="1"/>
    <x v="12"/>
    <n v="-255.36"/>
    <n v="0"/>
    <n v="-255.36"/>
    <s v="Caixinha"/>
    <s v="3.18 ELETRICA EFIAÇÃO + TOMADAS"/>
    <s v=" Cabo unipolar 1.5 mm² marrom"/>
    <s v="Conta a Pagar"/>
    <s v="N/D"/>
    <s v="N/D"/>
    <s v="Outros"/>
    <x v="4"/>
  </r>
  <r>
    <m/>
    <m/>
    <d v="2026-07-31T00:00:00"/>
    <d v="2026-07-31T00:00:00"/>
    <x v="39"/>
    <x v="5"/>
    <x v="1"/>
    <x v="7"/>
    <n v="-36522.239999999998"/>
    <n v="0"/>
    <n v="-36522.239999999998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415.68"/>
    <n v="0"/>
    <n v="-415.68"/>
    <s v="Caixinha"/>
    <s v="3.18 ELETRICA EFIAÇÃO + TOMADAS"/>
    <s v=" Placa 2x4&quot; tomada TV/SAT"/>
    <s v="Conta a Pagar"/>
    <s v="N/D"/>
    <s v="N/D"/>
    <s v="Outros"/>
    <x v="4"/>
  </r>
  <r>
    <m/>
    <m/>
    <d v="2026-07-31T00:00:00"/>
    <d v="2026-07-31T00:00:00"/>
    <x v="23"/>
    <x v="5"/>
    <x v="1"/>
    <x v="12"/>
    <n v="-2104.96"/>
    <n v="0"/>
    <n v="-2104.96"/>
    <s v="Caixinha"/>
    <s v="3.18 ELETRICA EFIAÇÃO + TOMADAS"/>
    <s v=" CHUVEIRO, COM CANO, 3 TEMPERATURAS, 5500 W (110/220 V)"/>
    <s v="Conta a Pagar"/>
    <s v="N/D"/>
    <s v="N/D"/>
    <s v="Outros"/>
    <x v="4"/>
  </r>
  <r>
    <m/>
    <m/>
    <d v="2026-07-31T00:00:00"/>
    <d v="2026-07-31T00:00:00"/>
    <x v="23"/>
    <x v="5"/>
    <x v="1"/>
    <x v="12"/>
    <n v="-1276.8"/>
    <n v="0"/>
    <n v="-1276.8"/>
    <s v="Caixinha"/>
    <s v="3.18 ELETRICA EFIAÇÃO + TOMADAS"/>
    <s v=" Campainha Cigarra + 1 Tecla Campainha Pollar Radial"/>
    <s v="Conta a Pagar"/>
    <s v="N/D"/>
    <s v="N/D"/>
    <s v="Outros"/>
    <x v="4"/>
  </r>
  <r>
    <m/>
    <m/>
    <d v="2026-07-31T00:00:00"/>
    <d v="2026-07-31T00:00:00"/>
    <x v="23"/>
    <x v="5"/>
    <x v="1"/>
    <x v="12"/>
    <n v="-668.8"/>
    <n v="0"/>
    <n v="-668.8"/>
    <s v="Caixinha"/>
    <s v="3.18 ELETRICA EFIAÇÃO + TOMADAS"/>
    <s v=" Arandela do tipo meia-lua de sobrepor cor branca com lâmpada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preto"/>
    <s v="Conta a Pagar"/>
    <s v="N/D"/>
    <s v="N/D"/>
    <s v="Outros"/>
    <x v="4"/>
  </r>
  <r>
    <m/>
    <m/>
    <d v="2026-07-31T00:00:00"/>
    <d v="2026-07-31T00:00:00"/>
    <x v="23"/>
    <x v="5"/>
    <x v="1"/>
    <x v="12"/>
    <n v="-5601.63"/>
    <n v="0"/>
    <n v="-5601.63"/>
    <s v="Caixinha"/>
    <s v="3.18 ELETRICA EFIAÇÃO + TOMADAS"/>
    <s v=" Cabo unipolar 10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1429.76"/>
    <n v="0"/>
    <n v="-1429.76"/>
    <s v="Caixinha"/>
    <s v="3.18 ELETRICA EFIAÇÃO + TOMADAS"/>
    <s v=" Interruptor 1 tecla simples + tomada hexagonal NBR14136"/>
    <s v="Conta a Pagar"/>
    <s v="N/D"/>
    <s v="N/D"/>
    <s v="Outros"/>
    <x v="4"/>
  </r>
  <r>
    <m/>
    <m/>
    <d v="2026-07-31T00:00:00"/>
    <d v="2026-07-31T00:00:00"/>
    <x v="23"/>
    <x v="5"/>
    <x v="1"/>
    <x v="12"/>
    <n v="-181.44"/>
    <n v="0"/>
    <n v="-181.44"/>
    <s v="Caixinha"/>
    <s v="3.18 ELETRICA EFIAÇÃO + TOMADAS"/>
    <s v=" Tomada telefone redonda 4P"/>
    <s v="Conta a Pagar"/>
    <s v="N/D"/>
    <s v="N/D"/>
    <s v="Outros"/>
    <x v="4"/>
  </r>
  <r>
    <m/>
    <m/>
    <d v="2026-07-31T00:00:00"/>
    <d v="2026-07-31T00:00:00"/>
    <x v="23"/>
    <x v="5"/>
    <x v="1"/>
    <x v="12"/>
    <n v="-482.24"/>
    <n v="0"/>
    <n v="-482.24"/>
    <s v="Caixinha"/>
    <s v="3.18 ELETRICA EFIAÇÃO + TOMADAS"/>
    <s v=" Disjuntor unipolar termomagnético DIN 60A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255.36"/>
    <n v="0"/>
    <n v="-255.36"/>
    <s v="Caixinha"/>
    <s v="3.18 ELETRICA EFIAÇÃO + TOMADAS"/>
    <s v=" Cabo unipolar 1.5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540.79999999999995"/>
    <n v="0"/>
    <n v="-540.79999999999995"/>
    <s v="Caixinha"/>
    <s v="3.18 ELETRICA EFIAÇÃO + TOMADAS"/>
    <s v=" Arandela tipo tartaruga para uso externo com grade na cor branca com lampada"/>
    <s v="Conta a Pagar"/>
    <s v="N/D"/>
    <s v="N/D"/>
    <s v="Outros"/>
    <x v="4"/>
  </r>
  <r>
    <m/>
    <m/>
    <d v="2026-07-31T00:00:00"/>
    <d v="2026-07-31T00:00:00"/>
    <x v="23"/>
    <x v="5"/>
    <x v="1"/>
    <x v="12"/>
    <n v="-1097.5999999999999"/>
    <n v="0"/>
    <n v="-1097.5999999999999"/>
    <s v="Caixinha"/>
    <s v="3.18 ELETRICA EFIAÇÃO + TOMADAS"/>
    <s v=" Interruptor 2 teclas simples"/>
    <s v="Conta a Pagar"/>
    <s v="N/D"/>
    <s v="N/D"/>
    <s v="Outros"/>
    <x v="4"/>
  </r>
  <r>
    <m/>
    <m/>
    <d v="2026-07-31T00:00:00"/>
    <d v="2026-07-31T00:00:00"/>
    <x v="23"/>
    <x v="5"/>
    <x v="1"/>
    <x v="12"/>
    <n v="-621.44000000000005"/>
    <n v="0"/>
    <n v="-621.44000000000005"/>
    <s v="Caixinha"/>
    <s v="3.18 ELETRICA EFIAÇÃO + TOMADAS"/>
    <s v=" Interruptor 1 tecla simples"/>
    <s v="Conta a Pagar"/>
    <s v="N/D"/>
    <s v="N/D"/>
    <s v="Outros"/>
    <x v="4"/>
  </r>
  <r>
    <m/>
    <m/>
    <d v="2026-07-31T00:00:00"/>
    <d v="2026-07-31T00:00:00"/>
    <x v="23"/>
    <x v="5"/>
    <x v="1"/>
    <x v="12"/>
    <n v="-1219.8399999999999"/>
    <n v="0"/>
    <n v="-1219.8399999999999"/>
    <s v="Caixinha"/>
    <s v="3.18 ELETRICA EFIAÇÃO + TOMADAS"/>
    <s v=" Placa p/ 2 funções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3782.4"/>
    <n v="0"/>
    <n v="-3782.4"/>
    <s v="Caixinha"/>
    <s v="3.18 ELETRICA EFIAÇÃO + TOMADAS"/>
    <s v=" Placa p/ 1 função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1200"/>
    <n v="0"/>
    <n v="-1200"/>
    <s v="Caixinha"/>
    <s v="3.18 ELETRICA EFIAÇÃO + TOMADAS"/>
    <s v=" Fita isolante preta 20 metros"/>
    <s v="Conta a Pagar"/>
    <s v="N/D"/>
    <s v="N/D"/>
    <s v="Outros"/>
    <x v="4"/>
  </r>
  <r>
    <m/>
    <m/>
    <d v="2026-07-31T00:00:00"/>
    <d v="2026-07-31T00:00:00"/>
    <x v="23"/>
    <x v="5"/>
    <x v="1"/>
    <x v="12"/>
    <n v="-5104"/>
    <n v="0"/>
    <n v="-5104"/>
    <s v="Caixinha"/>
    <s v="3.18 ELETRICA EFIAÇÃO + TOMADAS"/>
    <s v=" Tomada universal retangular simples 2P+T 15A"/>
    <s v="Conta a Pagar"/>
    <s v="N/D"/>
    <s v="N/D"/>
    <s v="Outros"/>
    <x v="4"/>
  </r>
  <r>
    <m/>
    <m/>
    <d v="2026-07-31T00:00:00"/>
    <d v="2026-07-31T00:00:00"/>
    <x v="23"/>
    <x v="5"/>
    <x v="1"/>
    <x v="12"/>
    <n v="-1682.24"/>
    <n v="0"/>
    <n v="-1682.24"/>
    <s v="Caixinha"/>
    <s v="3.18 ELETRICA EFIAÇÃO + TOMADAS"/>
    <s v=" Plafon branco para lampada soquete"/>
    <s v="Conta a Pagar"/>
    <s v="N/D"/>
    <s v="N/D"/>
    <s v="Outros"/>
    <x v="4"/>
  </r>
  <r>
    <m/>
    <m/>
    <d v="2026-07-17T00:00:00"/>
    <d v="2026-07-17T00:00:00"/>
    <x v="12"/>
    <x v="5"/>
    <x v="1"/>
    <x v="6"/>
    <n v="-636.79999999999995"/>
    <n v="0"/>
    <n v="-636.79999999999995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7-17T00:00:00"/>
    <d v="2026-07-17T00:00:00"/>
    <x v="12"/>
    <x v="5"/>
    <x v="1"/>
    <x v="11"/>
    <n v="-466.24"/>
    <n v="0"/>
    <n v="-466.24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144"/>
    <n v="0"/>
    <n v="-144"/>
    <s v="Caixinha"/>
    <s v="3.22  LOUÇAS E METAIS"/>
    <s v=" ENGATE FLEXÍVEL EM PLÁSTICO BRANCO, 1/2&quot; X 40CM"/>
    <s v="Conta a Pagar"/>
    <s v="N/D"/>
    <s v="N/D"/>
    <s v="Outros"/>
    <x v="4"/>
  </r>
  <r>
    <m/>
    <m/>
    <d v="2026-07-17T00:00:00"/>
    <d v="2026-07-17T00:00:00"/>
    <x v="12"/>
    <x v="5"/>
    <x v="1"/>
    <x v="13"/>
    <n v="-8319.0400000000009"/>
    <n v="0"/>
    <n v="-8319.0400000000009"/>
    <s v="Caixinha"/>
    <s v="3.22  LOUÇAS E METAIS"/>
    <s v=" BACIA SANITARIA (VASO) C/ CAIXA ACOPLADA, DE LOUCA BRANCA EACIONAMENTO DUPLO"/>
    <s v="Conta a Pagar"/>
    <s v="N/D"/>
    <s v="N/D"/>
    <s v="Outros"/>
    <x v="4"/>
  </r>
  <r>
    <m/>
    <m/>
    <d v="2026-07-17T00:00:00"/>
    <d v="2026-07-17T00:00:00"/>
    <x v="12"/>
    <x v="5"/>
    <x v="1"/>
    <x v="11"/>
    <n v="-114.24"/>
    <n v="0"/>
    <n v="-114.24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11"/>
    <n v="-229.44"/>
    <n v="0"/>
    <n v="-229.44"/>
    <s v="Caixinha"/>
    <s v="3.22  LOUÇAS E METAIS"/>
    <s v=" Anel Vedação P/bacia Sanitária C/guia 100MM Preto Amanco"/>
    <s v="Conta a Pagar"/>
    <s v="N/D"/>
    <s v="N/D"/>
    <s v="Outros"/>
    <x v="4"/>
  </r>
  <r>
    <m/>
    <m/>
    <d v="2026-06-19T00:00:00"/>
    <d v="2026-06-19T00:00:00"/>
    <x v="40"/>
    <x v="5"/>
    <x v="1"/>
    <x v="6"/>
    <n v="-636.79999999999995"/>
    <n v="0"/>
    <n v="-636.79999999999995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6-19T00:00:00"/>
    <d v="2026-06-19T00:00:00"/>
    <x v="40"/>
    <x v="5"/>
    <x v="1"/>
    <x v="11"/>
    <n v="-144"/>
    <n v="0"/>
    <n v="-144"/>
    <s v="Caixinha"/>
    <s v="3.22  LOUÇAS E METAIS"/>
    <s v=" ENGATE FLEXÍVEL EM PLÁSTICO BRANCO, 1/2&quot; X 40CM"/>
    <s v="Conta a Pagar"/>
    <s v="N/D"/>
    <s v="N/D"/>
    <s v="Outros"/>
    <x v="4"/>
  </r>
  <r>
    <m/>
    <m/>
    <d v="2026-06-19T00:00:00"/>
    <d v="2026-06-19T00:00:00"/>
    <x v="40"/>
    <x v="5"/>
    <x v="1"/>
    <x v="11"/>
    <n v="-114.24"/>
    <n v="0"/>
    <n v="-114.24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40"/>
    <x v="5"/>
    <x v="1"/>
    <x v="13"/>
    <n v="-8319.0400000000009"/>
    <n v="0"/>
    <n v="-8319.0400000000009"/>
    <s v="Caixinha"/>
    <s v="3.22  LOUÇAS E METAIS"/>
    <s v=" BACIA SANITARIA (VASO) C/ CAIXA ACOPLADA, DE LOUCA BRANCA EACIONAMENTO DUPLO"/>
    <s v="Conta a Pagar"/>
    <s v="N/D"/>
    <s v="N/D"/>
    <s v="Outros"/>
    <x v="4"/>
  </r>
  <r>
    <m/>
    <m/>
    <d v="2026-06-19T00:00:00"/>
    <d v="2026-06-19T00:00:00"/>
    <x v="40"/>
    <x v="5"/>
    <x v="1"/>
    <x v="11"/>
    <n v="-229.44"/>
    <n v="0"/>
    <n v="-229.44"/>
    <s v="Caixinha"/>
    <s v="3.22  LOUÇAS E METAIS"/>
    <s v=" Anel Vedação P/bacia Sanitária C/guia 100MM Preto Amanco"/>
    <s v="Conta a Pagar"/>
    <s v="N/D"/>
    <s v="N/D"/>
    <s v="Outros"/>
    <x v="4"/>
  </r>
  <r>
    <m/>
    <m/>
    <d v="2026-06-19T00:00:00"/>
    <d v="2026-06-19T00:00:00"/>
    <x v="40"/>
    <x v="5"/>
    <x v="1"/>
    <x v="11"/>
    <n v="-466.24"/>
    <n v="0"/>
    <n v="-466.24"/>
    <s v="Caixinha"/>
    <s v="3.22  LOUÇAS E METAIS"/>
    <s v=" PARAFUSO PARA VASO E LAVATORIO / 8MM - COM BUCHA"/>
    <s v="Conta a Pagar"/>
    <s v="N/D"/>
    <s v="N/D"/>
    <s v="Outros"/>
    <x v="4"/>
  </r>
  <r>
    <m/>
    <m/>
    <d v="2026-03-17T00:00:00"/>
    <d v="2026-03-17T00:00:00"/>
    <x v="41"/>
    <x v="7"/>
    <x v="1"/>
    <x v="7"/>
    <n v="-2000"/>
    <n v="-2000"/>
    <n v="0"/>
    <s v="Caixa Econômica Federal"/>
    <s v="3.2 RADIER"/>
    <s v="[10:54, 17/03/2026] Felipe Fleury: Ele vai levar mais 3 pessoas pra trabalhar lá [10:54, 17/03/2026] Felipe Fleury: Mão de obra radier"/>
    <s v="Conta a Pagar"/>
    <s v="N/D"/>
    <s v="171121"/>
    <s v="Outros"/>
    <x v="4"/>
  </r>
  <r>
    <m/>
    <m/>
    <d v="2026-04-10T00:00:00"/>
    <d v="2026-04-10T00:00:00"/>
    <x v="3"/>
    <x v="5"/>
    <x v="1"/>
    <x v="14"/>
    <n v="-825.79"/>
    <n v="0"/>
    <n v="-825.79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4-10T00:00:00"/>
    <d v="2026-04-10T00:00:00"/>
    <x v="3"/>
    <x v="5"/>
    <x v="1"/>
    <x v="15"/>
    <n v="-933.5"/>
    <n v="0"/>
    <n v="-933.5"/>
    <s v="Caixinha"/>
    <s v="3.2 RADIER"/>
    <s v=" ripas de 5cm x 2,7m de 25mm"/>
    <s v="Conta a Pagar"/>
    <s v="N/D"/>
    <s v="N/D"/>
    <s v="Outros"/>
    <x v="4"/>
  </r>
  <r>
    <m/>
    <m/>
    <d v="2026-04-10T00:00:00"/>
    <d v="2026-04-10T00:00:00"/>
    <x v="3"/>
    <x v="5"/>
    <x v="1"/>
    <x v="14"/>
    <n v="-1645.06"/>
    <n v="0"/>
    <n v="-1645.06"/>
    <s v="Caixinha"/>
    <s v="3.2 RADIER"/>
    <s v=" Forma para Radier - tabua de eucalipto de 15 cm x 5,40m x 25mm de espessura"/>
    <s v="Conta a Pagar"/>
    <s v="N/D"/>
    <s v="N/D"/>
    <s v="Outros"/>
    <x v="4"/>
  </r>
  <r>
    <m/>
    <m/>
    <d v="2026-03-27T00:00:00"/>
    <d v="2026-03-27T00:00:00"/>
    <x v="41"/>
    <x v="8"/>
    <x v="1"/>
    <x v="16"/>
    <n v="-10000"/>
    <n v="-10000"/>
    <n v="0"/>
    <s v="Caixa Econômica Federal"/>
    <s v="3.2 RADIER"/>
    <s v="Brita graduada (lastro para nivelamento) - 10 cm esp.; 15% penetração no solo"/>
    <s v="Conta a Pagar"/>
    <s v="N/D"/>
    <s v="3"/>
    <s v="Outros"/>
    <x v="4"/>
  </r>
  <r>
    <m/>
    <m/>
    <d v="2026-03-27T00:00:00"/>
    <d v="2026-03-27T00:00:00"/>
    <x v="42"/>
    <x v="5"/>
    <x v="1"/>
    <x v="7"/>
    <n v="-13324"/>
    <n v="0"/>
    <n v="-25600"/>
    <s v="Caixinha"/>
    <s v="3.2 RADIER"/>
    <s v=" Mao de obra Terceirizada Radier"/>
    <s v="Conta a Pagar"/>
    <s v="N/D"/>
    <s v="4"/>
    <s v="Outros"/>
    <x v="4"/>
  </r>
  <r>
    <m/>
    <m/>
    <d v="2026-04-10T00:00:00"/>
    <d v="2026-04-10T00:00:00"/>
    <x v="43"/>
    <x v="5"/>
    <x v="1"/>
    <x v="7"/>
    <n v="-32000"/>
    <n v="0"/>
    <n v="-32000"/>
    <s v="Caixinha"/>
    <s v="3.2 RADIER"/>
    <s v=" Mao de obra Terceirizada Radier"/>
    <s v="Conta a Pagar"/>
    <s v="N/D"/>
    <s v="N/D"/>
    <s v="Outros"/>
    <x v="4"/>
  </r>
  <r>
    <m/>
    <m/>
    <d v="2026-04-10T00:00:00"/>
    <d v="2026-04-10T00:00:00"/>
    <x v="44"/>
    <x v="5"/>
    <x v="1"/>
    <x v="17"/>
    <n v="-1600"/>
    <n v="0"/>
    <n v="-1600"/>
    <s v="Caixinha"/>
    <s v="3.2 RADIER"/>
    <s v=" Placa vibratoria reversivél CR5"/>
    <s v="Conta a Pagar"/>
    <s v="N/D"/>
    <s v="N/D"/>
    <s v="Outros"/>
    <x v="4"/>
  </r>
  <r>
    <m/>
    <m/>
    <d v="2026-04-10T00:00:00"/>
    <d v="2026-04-10T00:00:00"/>
    <x v="44"/>
    <x v="5"/>
    <x v="1"/>
    <x v="18"/>
    <n v="-2240"/>
    <n v="0"/>
    <n v="-3840"/>
    <s v="Caixinha"/>
    <s v="3.2 RADIER"/>
    <s v=" Ensaio compreesão corpo prova"/>
    <s v="Conta a Pagar"/>
    <s v="N/D"/>
    <s v="N/D"/>
    <s v="Outros"/>
    <x v="4"/>
  </r>
  <r>
    <m/>
    <m/>
    <d v="2026-03-12T00:00:00"/>
    <d v="2026-03-12T00:00:00"/>
    <x v="5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4-10T00:00:00"/>
    <d v="2026-04-10T00:00:00"/>
    <x v="28"/>
    <x v="9"/>
    <x v="1"/>
    <x v="6"/>
    <n v="-199.6"/>
    <n v="0"/>
    <n v="-199.6"/>
    <s v="Caixinha"/>
    <s v="3.2 RADIER"/>
    <s v=" Cimento PortlanD CP IV 32 para limpeza da bomba"/>
    <s v="Conta a Pagar"/>
    <s v="N/D"/>
    <s v="N/D"/>
    <s v="Outros"/>
    <x v="4"/>
  </r>
  <r>
    <m/>
    <m/>
    <d v="2026-04-10T00:00:00"/>
    <d v="2026-04-10T00:00:00"/>
    <x v="28"/>
    <x v="5"/>
    <x v="1"/>
    <x v="6"/>
    <n v="-486.34"/>
    <n v="0"/>
    <n v="-486.34"/>
    <s v="Caixinha"/>
    <s v="3.2 RADIER"/>
    <s v="Desmoldante TECNOMOR"/>
    <s v="Conta a Pagar"/>
    <s v="N/D"/>
    <s v="N/D"/>
    <s v="Outros"/>
    <x v="4"/>
  </r>
  <r>
    <m/>
    <m/>
    <d v="2026-04-24T00:00:00"/>
    <d v="2026-04-24T00:00:00"/>
    <x v="27"/>
    <x v="5"/>
    <x v="1"/>
    <x v="18"/>
    <n v="-2240"/>
    <n v="0"/>
    <n v="-3840"/>
    <s v="Caixinha"/>
    <s v="3.2 RADIER"/>
    <s v=" Ensaio compreesão corpo prova"/>
    <s v="Conta a Pagar"/>
    <s v="N/D"/>
    <s v="N/D"/>
    <s v="Outros"/>
    <x v="4"/>
  </r>
  <r>
    <m/>
    <m/>
    <d v="2026-04-10T00:00:00"/>
    <d v="2026-04-10T00:00:00"/>
    <x v="28"/>
    <x v="9"/>
    <x v="1"/>
    <x v="9"/>
    <n v="-1039.49"/>
    <n v="0"/>
    <n v="-1039.49"/>
    <s v="Caixinha"/>
    <s v="3.2 RADIER"/>
    <s v="Prego 17 x 27 cabeça dupla"/>
    <s v="Conta a Pagar"/>
    <s v="N/D"/>
    <s v="N/D"/>
    <s v="Outros"/>
    <x v="4"/>
  </r>
  <r>
    <m/>
    <m/>
    <d v="2026-05-08T00:00:00"/>
    <d v="2026-05-08T00:00:00"/>
    <x v="28"/>
    <x v="10"/>
    <x v="1"/>
    <x v="9"/>
    <n v="-12124"/>
    <n v="0"/>
    <n v="-25261.33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4-25T00:00:00"/>
    <d v="2026-04-25T00:00:00"/>
    <x v="45"/>
    <x v="10"/>
    <x v="1"/>
    <x v="9"/>
    <n v="-13137.33"/>
    <n v="0"/>
    <n v="-25261.33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3-12T00:00:00"/>
    <d v="2026-03-12T00:00:00"/>
    <x v="3"/>
    <x v="4"/>
    <x v="1"/>
    <x v="9"/>
    <n v="-868.4"/>
    <n v="0"/>
    <n v="-868.4"/>
    <s v="Cartão Marcelo - Comp 11 Venc 17"/>
    <s v="3.2 RADIER"/>
    <s v="Compra madeiras no cartão do Marcelo Ferro e material contenção lote 1 e area de convivencia"/>
    <s v="Conta a Pagar"/>
    <s v="N/D"/>
    <s v="N/D"/>
    <s v="Outros"/>
    <x v="4"/>
  </r>
  <r>
    <m/>
    <m/>
    <d v="2026-04-10T00:00:00"/>
    <d v="2026-04-10T00:00:00"/>
    <x v="28"/>
    <x v="9"/>
    <x v="1"/>
    <x v="9"/>
    <n v="-249.15"/>
    <n v="0"/>
    <n v="-249.15"/>
    <s v="Caixinha"/>
    <s v="3.2 RADIER"/>
    <s v=" Arame Recozido bwg 18"/>
    <s v="Conta a Pagar"/>
    <s v="N/D"/>
    <s v="N/D"/>
    <s v="Outros"/>
    <x v="4"/>
  </r>
  <r>
    <m/>
    <m/>
    <d v="2026-05-08T00:00:00"/>
    <d v="2026-05-08T00:00:00"/>
    <x v="1"/>
    <x v="5"/>
    <x v="1"/>
    <x v="17"/>
    <n v="-1600"/>
    <n v="0"/>
    <n v="-1600"/>
    <s v="Caixinha"/>
    <s v="3.2 RADIER"/>
    <s v=" Placa vibratoria reversivél CR5"/>
    <s v="Conta a Pagar"/>
    <s v="N/D"/>
    <s v="N/D"/>
    <s v="Outros"/>
    <x v="4"/>
  </r>
  <r>
    <m/>
    <m/>
    <d v="2026-03-18T00:00:00"/>
    <d v="2026-03-18T00:00:00"/>
    <x v="28"/>
    <x v="11"/>
    <x v="1"/>
    <x v="9"/>
    <n v="-10000"/>
    <n v="0"/>
    <n v="-10000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4-10T00:00:00"/>
    <d v="2026-04-28T00:00:00"/>
    <x v="28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4-24T00:00:00"/>
    <d v="2026-04-24T00:00:00"/>
    <x v="28"/>
    <x v="5"/>
    <x v="1"/>
    <x v="7"/>
    <n v="-12800"/>
    <n v="0"/>
    <n v="-12800"/>
    <s v="Caixinha"/>
    <s v="3.2 RADIER"/>
    <s v=" Mao de obra Terceirizada Radier"/>
    <s v="Conta a Pagar"/>
    <s v="N/D"/>
    <s v="4"/>
    <s v="Outros"/>
    <x v="4"/>
  </r>
  <r>
    <m/>
    <m/>
    <d v="2026-03-27T00:00:00"/>
    <d v="2026-03-27T00:00:00"/>
    <x v="28"/>
    <x v="5"/>
    <x v="1"/>
    <x v="19"/>
    <n v="-168280"/>
    <n v="0"/>
    <n v="-168280"/>
    <s v="Caixinha"/>
    <s v="3.2 RADIER"/>
    <s v="Concreto Usinado fck - 25 Mpa ( Com perda de 10%) - SEM IMPERMEABILIZANTE - 140 +- 30 slump + Bomba de concreto  ( Taxa divide 1 casa e 1 radier ) =(512M*630,00)/2 + 2 DIARIAS 3500,00"/>
    <s v="Conta a Pagar"/>
    <s v="N/D"/>
    <s v="1"/>
    <s v="Outros"/>
    <x v="4"/>
  </r>
  <r>
    <m/>
    <m/>
    <d v="2026-04-10T00:00:00"/>
    <d v="2026-04-10T00:00:00"/>
    <x v="28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3-12T00:00:00"/>
    <d v="2026-03-12T00:00:00"/>
    <x v="3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 a Pagar"/>
    <s v="N/D"/>
    <s v="N/D"/>
    <s v="Outros"/>
    <x v="4"/>
  </r>
  <r>
    <m/>
    <m/>
    <d v="2026-03-12T00:00:00"/>
    <d v="2026-03-12T00:00:00"/>
    <x v="5"/>
    <x v="4"/>
    <x v="1"/>
    <x v="9"/>
    <n v="-868.4"/>
    <n v="0"/>
    <n v="-868.4"/>
    <s v="Cartão Marcelo - Comp 11 Venc 17"/>
    <s v="3.2 RADIER"/>
    <s v="Compra madeiras no cartão do Marcelo Ferro e material contenção lote 1 e area de convivencia"/>
    <s v="Contas a Pagar (repetição)"/>
    <s v="N/D"/>
    <s v="N/D"/>
    <s v="Outros"/>
    <x v="4"/>
  </r>
  <r>
    <m/>
    <m/>
    <d v="2026-04-25T00:00:00"/>
    <d v="2026-04-25T00:00:00"/>
    <x v="27"/>
    <x v="9"/>
    <x v="1"/>
    <x v="9"/>
    <n v="-249.15"/>
    <n v="0"/>
    <n v="-249.15"/>
    <s v="Caixinha"/>
    <s v="3.2 RADIER"/>
    <s v=" Arame Recozido bwg 18"/>
    <s v="Contas a Pagar (repetição)"/>
    <s v="N/D"/>
    <s v="N/D"/>
    <s v="Outros"/>
    <x v="4"/>
  </r>
  <r>
    <m/>
    <m/>
    <d v="2026-05-08T00:00:00"/>
    <d v="2026-05-08T00:00:00"/>
    <x v="27"/>
    <x v="5"/>
    <x v="1"/>
    <x v="6"/>
    <n v="-472.03"/>
    <n v="0"/>
    <n v="-472.03"/>
    <s v="Caixinha"/>
    <s v="3.2 RADIER"/>
    <s v="Desmoldante TECNOMOR"/>
    <s v="Conta a Pagar"/>
    <s v="N/D"/>
    <s v="N/D"/>
    <s v="Outros"/>
    <x v="4"/>
  </r>
  <r>
    <m/>
    <m/>
    <d v="2026-04-10T00:00:00"/>
    <d v="2026-04-10T00:00:00"/>
    <x v="28"/>
    <x v="5"/>
    <x v="1"/>
    <x v="16"/>
    <n v="-22334.71"/>
    <n v="0"/>
    <n v="-22334.71"/>
    <s v="Caixinha"/>
    <s v="3.2 RADIER"/>
    <s v="Brita graduada (lastro para nivelamento) - 10 cm esp.; 15% penetração no solo"/>
    <s v="Conta a Pagar"/>
    <s v="N/D"/>
    <s v="N/D"/>
    <s v="Outros"/>
    <x v="4"/>
  </r>
  <r>
    <m/>
    <m/>
    <d v="2026-04-10T00:00:00"/>
    <d v="2026-04-10T00:00:00"/>
    <x v="46"/>
    <x v="10"/>
    <x v="1"/>
    <x v="9"/>
    <n v="-13137.33"/>
    <n v="0"/>
    <n v="-25261.33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5-08T00:00:00"/>
    <d v="2026-05-08T00:00:00"/>
    <x v="27"/>
    <x v="9"/>
    <x v="1"/>
    <x v="9"/>
    <n v="-1150.3800000000001"/>
    <n v="0"/>
    <n v="-1150.3800000000001"/>
    <s v="Caixinha"/>
    <s v="3.2 RADIER"/>
    <s v="Prego 17 x 27 cabeça dupla"/>
    <s v="Conta a Pagar"/>
    <s v="N/D"/>
    <s v="N/D"/>
    <s v="Outros"/>
    <x v="4"/>
  </r>
  <r>
    <m/>
    <m/>
    <d v="2026-05-08T00:00:00"/>
    <d v="2026-05-08T00:00:00"/>
    <x v="27"/>
    <x v="5"/>
    <x v="1"/>
    <x v="7"/>
    <n v="-25600"/>
    <n v="0"/>
    <n v="-25600"/>
    <s v="Caixinha"/>
    <s v="3.2 RADIER"/>
    <s v=" Mao de obra Terceirizada Radier"/>
    <s v="Conta a Pagar"/>
    <s v="N/D"/>
    <s v="N/D"/>
    <s v="Outros"/>
    <x v="4"/>
  </r>
  <r>
    <m/>
    <m/>
    <d v="2026-05-08T00:00:00"/>
    <d v="2026-05-08T00:00:00"/>
    <x v="27"/>
    <x v="5"/>
    <x v="1"/>
    <x v="16"/>
    <n v="-22334.71"/>
    <n v="0"/>
    <n v="-22334.71"/>
    <s v="Caixinha"/>
    <s v="3.2 RADIER"/>
    <s v="Brita graduada (lastro para nivelamento) - 10 cm esp.; 15% penetração no solo"/>
    <s v="Conta a Pagar"/>
    <s v="N/D"/>
    <s v="N/D"/>
    <s v="Outros"/>
    <x v="4"/>
  </r>
  <r>
    <m/>
    <m/>
    <d v="2026-05-08T00:00:00"/>
    <d v="2026-05-08T00:00:00"/>
    <x v="28"/>
    <x v="5"/>
    <x v="1"/>
    <x v="6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5-08T00:00:00"/>
    <d v="2026-05-08T00:00:00"/>
    <x v="27"/>
    <x v="5"/>
    <x v="1"/>
    <x v="15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4-10T00:00:00"/>
    <d v="2026-04-10T00:00:00"/>
    <x v="30"/>
    <x v="5"/>
    <x v="1"/>
    <x v="19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5-08T00:00:00"/>
    <d v="2026-05-08T00:00:00"/>
    <x v="27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5-08T00:00:00"/>
    <d v="2026-05-08T00:00:00"/>
    <x v="27"/>
    <x v="5"/>
    <x v="1"/>
    <x v="15"/>
    <n v="-906.05"/>
    <n v="0"/>
    <n v="-906.05"/>
    <s v="Caixinha"/>
    <s v="3.2 RADIER"/>
    <s v=" ripas de 5cm x 2,7m de 25mm"/>
    <s v="Conta a Pagar"/>
    <s v="N/D"/>
    <s v="N/D"/>
    <s v="Outros"/>
    <x v="4"/>
  </r>
  <r>
    <m/>
    <m/>
    <d v="2026-04-10T00:00:00"/>
    <d v="2026-04-10T00:00:00"/>
    <x v="27"/>
    <x v="5"/>
    <x v="1"/>
    <x v="19"/>
    <n v="-168280"/>
    <n v="0"/>
    <n v="-168280"/>
    <s v="Caixinha"/>
    <s v="3.2 RADIER"/>
    <s v="Concreto Usinado fck - 25 Mpa ( Com perda de 10%) - SEM IMPERMEABILIZANTE - 140 +- 30 slump + Bomba de concreto  ( Taxa divide 1 casa e 1 radier ) =(512M*630,00)/2 + 2 DIARIAS 3500,00"/>
    <s v="Conta a Pagar"/>
    <s v="N/D"/>
    <s v="N/D"/>
    <s v="Outros"/>
    <x v="4"/>
  </r>
  <r>
    <m/>
    <m/>
    <d v="2026-05-08T00:00:00"/>
    <d v="2026-05-08T00:00:00"/>
    <x v="27"/>
    <x v="5"/>
    <x v="1"/>
    <x v="14"/>
    <n v="-801.5"/>
    <n v="0"/>
    <n v="-801.5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5-08T00:00:00"/>
    <d v="2026-05-08T00:00:00"/>
    <x v="27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4-25T00:00:00"/>
    <d v="2026-04-25T00:00:00"/>
    <x v="27"/>
    <x v="9"/>
    <x v="1"/>
    <x v="6"/>
    <n v="-199.6"/>
    <n v="0"/>
    <n v="-199.6"/>
    <s v="Caixinha"/>
    <s v="3.2 RADIER"/>
    <s v=" Cimento PortlanD CP IV 32 para limpeza da bomba"/>
    <s v="Contas a Pagar (repetição)"/>
    <s v="N/D"/>
    <s v="N/D"/>
    <s v="Outros"/>
    <x v="4"/>
  </r>
  <r>
    <m/>
    <m/>
    <d v="2026-05-10T00:00:00"/>
    <d v="2026-05-10T00:00:00"/>
    <x v="30"/>
    <x v="9"/>
    <x v="1"/>
    <x v="6"/>
    <n v="-199.6"/>
    <n v="0"/>
    <n v="-199.6"/>
    <s v="Caixinha"/>
    <s v="3.2 RADIER"/>
    <s v=" Cimento PortlanD CP IV 32 para limpeza da bomba"/>
    <s v="Contas a Pagar (repetição)"/>
    <s v="N/D"/>
    <s v="N/D"/>
    <s v="Outros"/>
    <x v="4"/>
  </r>
  <r>
    <m/>
    <m/>
    <d v="2026-04-18T00:00:00"/>
    <d v="2026-04-18T00:00:00"/>
    <x v="45"/>
    <x v="11"/>
    <x v="1"/>
    <x v="9"/>
    <n v="-10000"/>
    <n v="0"/>
    <n v="-10000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6-05T00:00:00"/>
    <d v="2026-06-05T00:00:00"/>
    <x v="27"/>
    <x v="5"/>
    <x v="1"/>
    <x v="14"/>
    <n v="-801.5"/>
    <n v="0"/>
    <n v="-801.5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5-10T00:00:00"/>
    <d v="2026-05-10T00:00:00"/>
    <x v="30"/>
    <x v="9"/>
    <x v="1"/>
    <x v="9"/>
    <n v="-249.15"/>
    <n v="0"/>
    <n v="-249.15"/>
    <s v="Caixinha"/>
    <s v="3.2 RADIER"/>
    <s v=" Arame Recozido bwg 18"/>
    <s v="Contas a Pagar (repetição)"/>
    <s v="N/D"/>
    <s v="N/D"/>
    <s v="Outros"/>
    <x v="4"/>
  </r>
  <r>
    <m/>
    <m/>
    <d v="2026-03-12T00:00:00"/>
    <d v="2026-03-12T00:00:00"/>
    <x v="10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6-05T00:00:00"/>
    <d v="2026-06-05T00:00:00"/>
    <x v="30"/>
    <x v="9"/>
    <x v="1"/>
    <x v="9"/>
    <n v="-1150.3800000000001"/>
    <n v="0"/>
    <n v="-1150.3800000000001"/>
    <s v="Caixinha"/>
    <s v="3.2 RADIER"/>
    <s v="Prego 17 x 27 cabeça dupla"/>
    <s v="Conta a Pagar"/>
    <s v="N/D"/>
    <s v="N/D"/>
    <s v="Outros"/>
    <x v="4"/>
  </r>
  <r>
    <m/>
    <m/>
    <d v="2026-06-05T00:00:00"/>
    <d v="2026-06-05T00:00:00"/>
    <x v="30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6-05T00:00:00"/>
    <d v="2026-06-05T00:00:00"/>
    <x v="30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6-05T00:00:00"/>
    <d v="2026-06-05T00:00:00"/>
    <x v="47"/>
    <x v="5"/>
    <x v="1"/>
    <x v="15"/>
    <n v="-906.05"/>
    <n v="0"/>
    <n v="-906.05"/>
    <s v="Caixinha"/>
    <s v="3.2 RADIER"/>
    <s v=" ripas de 5cm x 2,7m de 25mm"/>
    <s v="Conta a Pagar"/>
    <s v="N/D"/>
    <s v="N/D"/>
    <s v="Outros"/>
    <x v="4"/>
  </r>
  <r>
    <m/>
    <m/>
    <d v="2026-05-22T00:00:00"/>
    <d v="2026-05-22T00:00:00"/>
    <x v="30"/>
    <x v="5"/>
    <x v="1"/>
    <x v="7"/>
    <n v="-32000"/>
    <n v="0"/>
    <n v="-32000"/>
    <s v="Caixinha"/>
    <s v="3.2 RADIER"/>
    <s v=" Mao de obra Terceirizada Radier"/>
    <s v="Conta a Pagar"/>
    <s v="N/D"/>
    <s v="N/D"/>
    <s v="Outros"/>
    <x v="4"/>
  </r>
  <r>
    <m/>
    <m/>
    <d v="2026-06-05T00:00:00"/>
    <d v="2026-06-05T00:00:00"/>
    <x v="30"/>
    <x v="5"/>
    <x v="1"/>
    <x v="6"/>
    <n v="-472.03"/>
    <n v="0"/>
    <n v="-472.03"/>
    <s v="Caixinha"/>
    <s v="3.2 RADIER"/>
    <s v="Desmoldante TECNOMOR"/>
    <s v="Conta a Pagar"/>
    <s v="N/D"/>
    <s v="N/D"/>
    <s v="Outros"/>
    <x v="4"/>
  </r>
  <r>
    <m/>
    <m/>
    <d v="2026-03-12T00:00:00"/>
    <d v="2026-03-12T00:00:00"/>
    <x v="12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5-18T00:00:00"/>
    <d v="2026-05-18T00:00:00"/>
    <x v="46"/>
    <x v="11"/>
    <x v="1"/>
    <x v="9"/>
    <n v="-10000"/>
    <n v="0"/>
    <n v="-10000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m/>
    <d v="2026-04-10T00:00:00"/>
    <x v="28"/>
    <x v="9"/>
    <x v="1"/>
    <x v="9"/>
    <n v="-14740.41"/>
    <n v="0"/>
    <n v="-13098.666666666666"/>
    <s v="Caixinha"/>
    <s v="3.2 RADIER"/>
    <s v="Aço - Tela Q-138 - 4.2 c/10 -  (245 x 600 cm) (frete de 300 + ipi de 133 incluido"/>
    <s v="Conta a Pagar"/>
    <s v="N/D"/>
    <s v="N/D"/>
    <s v="Outros"/>
    <x v="4"/>
  </r>
  <r>
    <m/>
    <m/>
    <m/>
    <d v="2026-05-10T00:00:00"/>
    <x v="27"/>
    <x v="9"/>
    <x v="1"/>
    <x v="9"/>
    <n v="-13940.41"/>
    <n v="0"/>
    <n v="-13098.666666666666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m/>
    <d v="2026-04-25T00:00:00"/>
    <x v="30"/>
    <x v="9"/>
    <x v="1"/>
    <x v="9"/>
    <n v="-13940.41"/>
    <n v="0"/>
    <n v="-13098.666666666666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7-17T00:00:00"/>
    <d v="2026-07-17T00:00:00"/>
    <x v="12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11"/>
    <n v="-252.48"/>
    <n v="0"/>
    <n v="-252.48"/>
    <s v="Caixinha"/>
    <s v="3.22  LOUÇAS E METAIS"/>
    <s v=" ENGATE FLEXÍVEL EM PLÁSTICO BRANCO, 1/2&quot; X 40CM"/>
    <s v="Conta a Pagar"/>
    <s v="N/D"/>
    <s v="N/D"/>
    <s v="Outros"/>
    <x v="4"/>
  </r>
  <r>
    <m/>
    <m/>
    <d v="2026-07-17T00:00:00"/>
    <d v="2026-07-17T00:00:00"/>
    <x v="12"/>
    <x v="5"/>
    <x v="1"/>
    <x v="11"/>
    <n v="-152.96"/>
    <n v="0"/>
    <n v="-152.96"/>
    <s v="Caixinha"/>
    <s v="3.22  LOUÇAS E METAIS"/>
    <s v=" Válvula PVC Para Lavatório S/ladrao Amanco"/>
    <s v="Conta a Pagar"/>
    <s v="N/D"/>
    <s v="N/D"/>
    <s v="Outros"/>
    <x v="4"/>
  </r>
  <r>
    <m/>
    <m/>
    <d v="2026-07-17T00:00:00"/>
    <d v="2026-07-17T00:00:00"/>
    <x v="12"/>
    <x v="5"/>
    <x v="1"/>
    <x v="6"/>
    <n v="-382.08"/>
    <n v="0"/>
    <n v="-382.08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7-17T00:00:00"/>
    <d v="2026-07-17T00:00:00"/>
    <x v="12"/>
    <x v="5"/>
    <x v="1"/>
    <x v="13"/>
    <n v="-2332.8000000000002"/>
    <n v="0"/>
    <n v="-2332.8000000000002"/>
    <s v="Caixinha"/>
    <s v="3.22  LOUÇAS E METAIS"/>
    <s v=" COLUNA P/ LAVATÓRIO BRANCO"/>
    <s v="Conta a Pagar"/>
    <s v="N/D"/>
    <s v="N/D"/>
    <s v="Outros"/>
    <x v="4"/>
  </r>
  <r>
    <m/>
    <m/>
    <d v="2026-07-17T00:00:00"/>
    <d v="2026-07-17T00:00:00"/>
    <x v="12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479.68"/>
    <n v="0"/>
    <n v="-479.68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7-17T00:00:00"/>
    <d v="2026-07-17T00:00:00"/>
    <x v="12"/>
    <x v="5"/>
    <x v="1"/>
    <x v="13"/>
    <n v="-2460.8000000000002"/>
    <n v="0"/>
    <n v="-2460.8000000000002"/>
    <s v="Caixinha"/>
    <s v="3.22  LOUÇAS E METAIS"/>
    <s v=" LAVATORIO LOUCA BRANCA C/ COLUNA 470 X 425 MM (SOMENTELAVATÓRIO)"/>
    <s v="Conta a Pagar"/>
    <s v="N/D"/>
    <s v="N/D"/>
    <s v="Outros"/>
    <x v="4"/>
  </r>
  <r>
    <m/>
    <m/>
    <d v="2026-07-17T00:00:00"/>
    <d v="2026-07-17T00:00:00"/>
    <x v="12"/>
    <x v="5"/>
    <x v="1"/>
    <x v="20"/>
    <n v="-1286.4000000000001"/>
    <n v="0"/>
    <n v="-1286.4000000000001"/>
    <s v="Caixinha"/>
    <s v="3.22  LOUÇAS E METAIS"/>
    <s v=" Torneira Banheiro Lavatório Bancada 1193 Metal C-23 Cromada"/>
    <s v="Conta a Pagar"/>
    <s v="N/D"/>
    <s v="N/D"/>
    <s v="Outros"/>
    <x v="4"/>
  </r>
  <r>
    <m/>
    <m/>
    <d v="2026-06-19T00:00:00"/>
    <d v="2026-06-19T00:00:00"/>
    <x v="40"/>
    <x v="5"/>
    <x v="1"/>
    <x v="11"/>
    <n v="-152.96"/>
    <n v="0"/>
    <n v="-152.96"/>
    <s v="Caixinha"/>
    <s v="3.22  LOUÇAS E METAIS"/>
    <s v=" Válvula PVC Para Lavatório S/ladrao Amanco"/>
    <s v="Conta a Pagar"/>
    <s v="N/D"/>
    <s v="N/D"/>
    <s v="Outros"/>
    <x v="4"/>
  </r>
  <r>
    <m/>
    <m/>
    <d v="2026-06-19T00:00:00"/>
    <d v="2026-06-19T00:00:00"/>
    <x v="40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6-19T00:00:00"/>
    <d v="2026-06-19T00:00:00"/>
    <x v="40"/>
    <x v="5"/>
    <x v="1"/>
    <x v="11"/>
    <n v="-252.48"/>
    <n v="0"/>
    <n v="-252.48"/>
    <s v="Caixinha"/>
    <s v="3.22  LOUÇAS E METAIS"/>
    <s v=" ENGATE FLEXÍVEL EM PLÁSTICO BRANCO, 1/2&quot; X 40CM"/>
    <s v="Conta a Pagar"/>
    <s v="N/D"/>
    <s v="N/D"/>
    <s v="Outros"/>
    <x v="4"/>
  </r>
  <r>
    <m/>
    <m/>
    <d v="2026-06-19T00:00:00"/>
    <d v="2026-06-19T00:00:00"/>
    <x v="40"/>
    <x v="5"/>
    <x v="1"/>
    <x v="11"/>
    <n v="-479.68"/>
    <n v="0"/>
    <n v="-479.68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6-19T00:00:00"/>
    <d v="2026-06-19T00:00:00"/>
    <x v="40"/>
    <x v="5"/>
    <x v="1"/>
    <x v="6"/>
    <n v="-382.08"/>
    <n v="0"/>
    <n v="-382.08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6-19T00:00:00"/>
    <d v="2026-06-19T00:00:00"/>
    <x v="40"/>
    <x v="5"/>
    <x v="1"/>
    <x v="20"/>
    <n v="-1286.4000000000001"/>
    <n v="0"/>
    <n v="-1286.4000000000001"/>
    <s v="Caixinha"/>
    <s v="3.22  LOUÇAS E METAIS"/>
    <s v=" Torneira Banheiro Lavatório Bancada 1193 Metal C-23 Cromada"/>
    <s v="Conta a Pagar"/>
    <s v="N/D"/>
    <s v="N/D"/>
    <s v="Outros"/>
    <x v="4"/>
  </r>
  <r>
    <m/>
    <m/>
    <d v="2026-06-19T00:00:00"/>
    <d v="2026-06-19T00:00:00"/>
    <x v="40"/>
    <x v="5"/>
    <x v="1"/>
    <x v="13"/>
    <n v="-2460.8000000000002"/>
    <n v="0"/>
    <n v="-2460.8000000000002"/>
    <s v="Caixinha"/>
    <s v="3.22  LOUÇAS E METAIS"/>
    <s v=" LAVATORIO LOUCA BRANCA C/ COLUNA 470 X 425 MM (SOMENTELAVATÓRIO)"/>
    <s v="Conta a Pagar"/>
    <s v="N/D"/>
    <s v="N/D"/>
    <s v="Outros"/>
    <x v="4"/>
  </r>
  <r>
    <m/>
    <m/>
    <d v="2026-06-19T00:00:00"/>
    <d v="2026-06-19T00:00:00"/>
    <x v="40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40"/>
    <x v="5"/>
    <x v="1"/>
    <x v="13"/>
    <n v="-2332.8000000000002"/>
    <n v="0"/>
    <n v="-2332.8000000000002"/>
    <s v="Caixinha"/>
    <s v="3.22  LOUÇAS E METAIS"/>
    <s v=" COLUNA P/ LAVATÓRIO BRANCO"/>
    <s v="Conta a Pagar"/>
    <s v="N/D"/>
    <s v="N/D"/>
    <s v="Outros"/>
    <x v="4"/>
  </r>
  <r>
    <m/>
    <m/>
    <d v="2026-07-17T00:00:00"/>
    <d v="2026-07-17T00:00:00"/>
    <x v="12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20"/>
    <n v="-1523.52"/>
    <n v="0"/>
    <n v="-1523.52"/>
    <s v="Caixinha"/>
    <s v="3.22  LOUÇAS E METAIS"/>
    <s v=" Torneira De Tanque / Jardim Luxo ¼ De Volta 100% Metal C-31"/>
    <s v="Conta a Pagar"/>
    <s v="N/D"/>
    <s v="N/D"/>
    <s v="Outros"/>
    <x v="4"/>
  </r>
  <r>
    <m/>
    <m/>
    <d v="2026-07-17T00:00:00"/>
    <d v="2026-07-17T00:00:00"/>
    <x v="12"/>
    <x v="5"/>
    <x v="1"/>
    <x v="13"/>
    <n v="-4872"/>
    <n v="0"/>
    <n v="-4872"/>
    <s v="Caixinha"/>
    <s v="3.22  LOUÇAS E METAIS"/>
    <s v=" TANQUE LOUÇA BRANCO 20L , COM VALVULA DE SAIDA INTEGRADA 40MM"/>
    <s v="Conta a Pagar"/>
    <s v="N/D"/>
    <s v="N/D"/>
    <s v="Outros"/>
    <x v="4"/>
  </r>
  <r>
    <m/>
    <m/>
    <d v="2026-07-17T00:00:00"/>
    <d v="2026-07-17T00:00:00"/>
    <x v="12"/>
    <x v="5"/>
    <x v="1"/>
    <x v="11"/>
    <n v="-959.36"/>
    <n v="0"/>
    <n v="-959.36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6-19T00:00:00"/>
    <d v="2026-06-19T00:00:00"/>
    <x v="40"/>
    <x v="5"/>
    <x v="1"/>
    <x v="20"/>
    <n v="-1523.52"/>
    <n v="0"/>
    <n v="-1523.52"/>
    <s v="Caixinha"/>
    <s v="3.22  LOUÇAS E METAIS"/>
    <s v=" Torneira De Tanque / Jardim Luxo ¼ De Volta 100% Metal C-31"/>
    <s v="Conta a Pagar"/>
    <s v="N/D"/>
    <s v="N/D"/>
    <s v="Outros"/>
    <x v="4"/>
  </r>
  <r>
    <m/>
    <m/>
    <d v="2026-06-19T00:00:00"/>
    <d v="2026-06-19T00:00:00"/>
    <x v="40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6-19T00:00:00"/>
    <d v="2026-06-19T00:00:00"/>
    <x v="40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40"/>
    <x v="5"/>
    <x v="1"/>
    <x v="13"/>
    <n v="-4872"/>
    <n v="0"/>
    <n v="-4872"/>
    <s v="Caixinha"/>
    <s v="3.22  LOUÇAS E METAIS"/>
    <s v=" TANQUE LOUÇA BRANCO 20L , COM VALVULA DE SAIDA INTEGRADA 40MM"/>
    <s v="Conta a Pagar"/>
    <s v="N/D"/>
    <s v="N/D"/>
    <s v="Outros"/>
    <x v="4"/>
  </r>
  <r>
    <m/>
    <m/>
    <d v="2026-06-19T00:00:00"/>
    <d v="2026-06-19T00:00:00"/>
    <x v="40"/>
    <x v="5"/>
    <x v="1"/>
    <x v="11"/>
    <n v="-959.36"/>
    <n v="0"/>
    <n v="-959.36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7-17T00:00:00"/>
    <d v="2026-07-17T00:00:00"/>
    <x v="12"/>
    <x v="5"/>
    <x v="1"/>
    <x v="11"/>
    <n v="-204.8"/>
    <n v="0"/>
    <n v="-204.8"/>
    <s v="Caixinha"/>
    <s v="3.22  LOUÇAS E METAIS"/>
    <s v=" Grelha 100x100mm - chuveiro"/>
    <s v="Conta a Pagar"/>
    <s v="N/D"/>
    <s v="N/D"/>
    <s v="Outros"/>
    <x v="4"/>
  </r>
  <r>
    <m/>
    <m/>
    <d v="2026-07-17T00:00:00"/>
    <d v="2026-07-17T00:00:00"/>
    <x v="12"/>
    <x v="5"/>
    <x v="1"/>
    <x v="11"/>
    <n v="-609.6"/>
    <n v="0"/>
    <n v="-609.6"/>
    <s v="Caixinha"/>
    <s v="3.22  LOUÇAS E METAIS"/>
    <s v=" ACABAMENTO CROMADO PARA REGISTRO pressao 3/4 ( tanque, maquina, pia coz)"/>
    <s v="Conta a Pagar"/>
    <s v="N/D"/>
    <s v="N/D"/>
    <s v="Outros"/>
    <x v="4"/>
  </r>
  <r>
    <m/>
    <m/>
    <d v="2026-07-17T00:00:00"/>
    <d v="2026-07-17T00:00:00"/>
    <x v="12"/>
    <x v="5"/>
    <x v="1"/>
    <x v="11"/>
    <n v="-1219.2"/>
    <n v="0"/>
    <n v="-1219.2"/>
    <s v="Caixinha"/>
    <s v="3.22  LOUÇAS E METAIS"/>
    <s v=" ACABAMENTO CROMADO PARA REGISTRO GAVETA 3/4 ( tanque, maquina, pia coz)"/>
    <s v="Conta a Pagar"/>
    <s v="N/D"/>
    <s v="N/D"/>
    <s v="Outros"/>
    <x v="4"/>
  </r>
  <r>
    <m/>
    <m/>
    <d v="2026-07-17T00:00:00"/>
    <d v="2026-07-17T00:00:00"/>
    <x v="12"/>
    <x v="5"/>
    <x v="1"/>
    <x v="11"/>
    <n v="-323.2"/>
    <n v="0"/>
    <n v="-323.2"/>
    <s v="Caixinha"/>
    <s v="3.22  LOUÇAS E METAIS"/>
    <s v=" Porta grelha dn 100mm - Chuveiro"/>
    <s v="Conta a Pagar"/>
    <s v="N/D"/>
    <s v="N/D"/>
    <s v="Outros"/>
    <x v="4"/>
  </r>
  <r>
    <m/>
    <m/>
    <d v="2026-06-19T00:00:00"/>
    <d v="2026-06-19T00:00:00"/>
    <x v="40"/>
    <x v="5"/>
    <x v="1"/>
    <x v="11"/>
    <n v="-204.8"/>
    <n v="0"/>
    <n v="-204.8"/>
    <s v="Caixinha"/>
    <s v="3.22  LOUÇAS E METAIS"/>
    <s v=" Grelha 100x100mm - chuveiro"/>
    <s v="Conta a Pagar"/>
    <s v="N/D"/>
    <s v="N/D"/>
    <s v="Outros"/>
    <x v="4"/>
  </r>
  <r>
    <m/>
    <m/>
    <d v="2026-06-19T00:00:00"/>
    <d v="2026-06-19T00:00:00"/>
    <x v="40"/>
    <x v="5"/>
    <x v="1"/>
    <x v="11"/>
    <n v="-609.6"/>
    <n v="0"/>
    <n v="-609.6"/>
    <s v="Caixinha"/>
    <s v="3.22  LOUÇAS E METAIS"/>
    <s v=" ACABAMENTO CROMADO PARA REGISTRO pressao 3/4 ( tanque, maquina, pia coz)"/>
    <s v="Conta a Pagar"/>
    <s v="N/D"/>
    <s v="N/D"/>
    <s v="Outros"/>
    <x v="4"/>
  </r>
  <r>
    <m/>
    <m/>
    <d v="2026-06-19T00:00:00"/>
    <d v="2026-06-19T00:00:00"/>
    <x v="40"/>
    <x v="5"/>
    <x v="1"/>
    <x v="11"/>
    <n v="-1219.2"/>
    <n v="0"/>
    <n v="-1219.2"/>
    <s v="Caixinha"/>
    <s v="3.22  LOUÇAS E METAIS"/>
    <s v=" ACABAMENTO CROMADO PARA REGISTRO GAVETA 3/4 ( tanque, maquina, pia coz)"/>
    <s v="Conta a Pagar"/>
    <s v="N/D"/>
    <s v="N/D"/>
    <s v="Outros"/>
    <x v="4"/>
  </r>
  <r>
    <m/>
    <m/>
    <d v="2026-06-19T00:00:00"/>
    <d v="2026-06-19T00:00:00"/>
    <x v="40"/>
    <x v="5"/>
    <x v="1"/>
    <x v="11"/>
    <n v="-323.2"/>
    <n v="0"/>
    <n v="-323.2"/>
    <s v="Caixinha"/>
    <s v="3.22  LOUÇAS E METAIS"/>
    <s v=" Porta grelha dn 100mm - Chuveiro"/>
    <s v="Conta a Pagar"/>
    <s v="N/D"/>
    <s v="N/D"/>
    <s v="Outros"/>
    <x v="4"/>
  </r>
  <r>
    <m/>
    <m/>
    <d v="2026-06-05T00:00:00"/>
    <d v="2026-06-05T00:00:00"/>
    <x v="29"/>
    <x v="5"/>
    <x v="1"/>
    <x v="7"/>
    <n v="-1439.23"/>
    <n v="0"/>
    <n v="-1439.23"/>
    <s v="Caixinha"/>
    <s v="3.22  LOUÇAS E METAIS"/>
    <s v=" Mao de obra loucas e metais Banheiro completo"/>
    <s v="Conta a Pagar"/>
    <s v="N/D"/>
    <s v="N/D"/>
    <s v="Outros"/>
    <x v="4"/>
  </r>
  <r>
    <m/>
    <m/>
    <d v="2026-07-17T00:00:00"/>
    <d v="2026-07-17T00:00:00"/>
    <x v="12"/>
    <x v="5"/>
    <x v="1"/>
    <x v="21"/>
    <n v="-7996.8"/>
    <n v="0"/>
    <n v="-7996.8"/>
    <s v="Caixinha"/>
    <s v="3.22  LOUÇAS E METAIS"/>
    <s v=" Bancada de mármore sintético 120x60"/>
    <s v="Conta a Pagar"/>
    <s v="N/D"/>
    <s v="N/D"/>
    <s v="Outros"/>
    <x v="4"/>
  </r>
  <r>
    <m/>
    <m/>
    <d v="2026-07-17T00:00:00"/>
    <d v="2026-07-17T00:00:00"/>
    <x v="12"/>
    <x v="5"/>
    <x v="1"/>
    <x v="20"/>
    <n v="-1820.8"/>
    <n v="0"/>
    <n v="-1820.8"/>
    <s v="Caixinha"/>
    <s v="3.22  LOUÇAS E METAIS"/>
    <s v=" torneira cromada para pia da cozinha"/>
    <s v="Conta a Pagar"/>
    <s v="N/D"/>
    <s v="N/D"/>
    <s v="Outros"/>
    <x v="4"/>
  </r>
  <r>
    <m/>
    <m/>
    <d v="2026-07-17T00:00:00"/>
    <d v="2026-07-17T00:00:00"/>
    <x v="12"/>
    <x v="5"/>
    <x v="1"/>
    <x v="20"/>
    <n v="-1020.8"/>
    <n v="0"/>
    <n v="-1020.8"/>
    <s v="Caixinha"/>
    <s v="3.22  LOUÇAS E METAIS"/>
    <s v=" Porta papel higiênico sem tampa, cromado"/>
    <s v="Conta a Pagar"/>
    <s v="N/D"/>
    <s v="N/D"/>
    <s v="Outros"/>
    <x v="4"/>
  </r>
  <r>
    <m/>
    <m/>
    <d v="2026-07-17T00:00:00"/>
    <d v="2026-07-17T00:00:00"/>
    <x v="36"/>
    <x v="5"/>
    <x v="1"/>
    <x v="7"/>
    <n v="-7304.45"/>
    <n v="0"/>
    <n v="-7304.45"/>
    <s v="Caixinha"/>
    <s v="3.22  LOUÇAS E METAIS"/>
    <s v=" Mao de obra loucas e metais Banheiro completo"/>
    <s v="Conta a Pagar"/>
    <s v="N/D"/>
    <s v="N/D"/>
    <s v="Outros"/>
    <x v="4"/>
  </r>
  <r>
    <m/>
    <m/>
    <d v="2026-07-17T00:00:00"/>
    <d v="2026-07-17T00:00:00"/>
    <x v="12"/>
    <x v="5"/>
    <x v="1"/>
    <x v="20"/>
    <n v="-860.8"/>
    <n v="0"/>
    <n v="-860.8"/>
    <s v="Caixinha"/>
    <s v="3.22  LOUÇAS E METAIS"/>
    <s v=" Porta Toalha de rosto em metal cromado para banheiro"/>
    <s v="Conta a Pagar"/>
    <s v="N/D"/>
    <s v="N/D"/>
    <s v="Outros"/>
    <x v="4"/>
  </r>
  <r>
    <m/>
    <m/>
    <d v="2026-06-19T00:00:00"/>
    <d v="2026-06-19T00:00:00"/>
    <x v="40"/>
    <x v="5"/>
    <x v="1"/>
    <x v="20"/>
    <n v="-860.8"/>
    <n v="0"/>
    <n v="-860.8"/>
    <s v="Caixinha"/>
    <s v="3.22  LOUÇAS E METAIS"/>
    <s v=" Porta Toalha de rosto em metal cromado para banheiro"/>
    <s v="Conta a Pagar"/>
    <s v="N/D"/>
    <s v="N/D"/>
    <s v="Outros"/>
    <x v="4"/>
  </r>
  <r>
    <m/>
    <m/>
    <d v="2026-06-19T00:00:00"/>
    <d v="2026-06-19T00:00:00"/>
    <x v="40"/>
    <x v="5"/>
    <x v="1"/>
    <x v="21"/>
    <n v="-7996.8"/>
    <n v="0"/>
    <n v="-13996.8"/>
    <s v="Caixinha"/>
    <s v="3.22  LOUÇAS E METAIS"/>
    <s v=" Bancada de mármore sintético 120x60"/>
    <s v="Conta a Pagar"/>
    <s v="N/D"/>
    <s v="N/D"/>
    <s v="Outros"/>
    <x v="4"/>
  </r>
  <r>
    <m/>
    <m/>
    <d v="2026-06-19T00:00:00"/>
    <d v="2026-06-19T00:00:00"/>
    <x v="40"/>
    <x v="5"/>
    <x v="1"/>
    <x v="20"/>
    <n v="-1020.8"/>
    <n v="0"/>
    <n v="-1020.8"/>
    <s v="Caixinha"/>
    <s v="3.22  LOUÇAS E METAIS"/>
    <s v=" Porta papel higiênico sem tampa, cromado"/>
    <s v="Conta a Pagar"/>
    <s v="N/D"/>
    <s v="N/D"/>
    <s v="Outros"/>
    <x v="4"/>
  </r>
  <r>
    <m/>
    <m/>
    <d v="2026-07-03T00:00:00"/>
    <d v="2026-07-03T00:00:00"/>
    <x v="34"/>
    <x v="5"/>
    <x v="1"/>
    <x v="7"/>
    <n v="-5175.55"/>
    <n v="0"/>
    <n v="-5175.55"/>
    <s v="Caixinha"/>
    <s v="3.22  LOUÇAS E METAIS"/>
    <s v=" Mao de obra loucas e metais Banheiro completo"/>
    <s v="Conta a Pagar"/>
    <s v="N/D"/>
    <s v="N/D"/>
    <s v="Outros"/>
    <x v="4"/>
  </r>
  <r>
    <m/>
    <m/>
    <d v="2026-06-19T00:00:00"/>
    <d v="2026-06-19T00:00:00"/>
    <x v="40"/>
    <x v="5"/>
    <x v="1"/>
    <x v="20"/>
    <n v="-1820.8"/>
    <n v="0"/>
    <n v="-1820.8"/>
    <s v="Caixinha"/>
    <s v="3.22  LOUÇAS E METAIS"/>
    <s v=" torneira cromada para pia da cozinha"/>
    <s v="Conta a Pagar"/>
    <s v="N/D"/>
    <s v="N/D"/>
    <s v="Outros"/>
    <x v="4"/>
  </r>
  <r>
    <m/>
    <m/>
    <d v="2026-06-19T00:00:00"/>
    <d v="2026-06-19T00:00:00"/>
    <x v="31"/>
    <x v="5"/>
    <x v="1"/>
    <x v="7"/>
    <n v="-1440.77"/>
    <n v="0"/>
    <n v="-1440.77"/>
    <s v="Caixinha"/>
    <s v="3.22  LOUÇAS E METAIS"/>
    <s v=" Mao de obra loucas e metais Banheiro completo"/>
    <s v="Conta a Pagar"/>
    <s v="N/D"/>
    <s v="N/D"/>
    <s v="Outros"/>
    <x v="4"/>
  </r>
  <r>
    <m/>
    <m/>
    <d v="2026-05-22T00:00:00"/>
    <d v="2026-05-22T00:00:00"/>
    <x v="29"/>
    <x v="5"/>
    <x v="1"/>
    <x v="22"/>
    <n v="-32000"/>
    <n v="0"/>
    <n v="-32000"/>
    <s v="Caixinha"/>
    <s v="3.23 POSTE DE ENERGIA"/>
    <s v=" Poste de Energia - padrão da concessionária local"/>
    <s v="Conta a Pagar"/>
    <s v="N/D"/>
    <s v="N/D"/>
    <s v="Outros"/>
    <x v="4"/>
  </r>
  <r>
    <m/>
    <m/>
    <d v="2026-05-22T00:00:00"/>
    <d v="2026-05-22T00:00:00"/>
    <x v="29"/>
    <x v="5"/>
    <x v="1"/>
    <x v="22"/>
    <n v="-19200"/>
    <n v="0"/>
    <n v="-19200"/>
    <s v="Caixinha"/>
    <s v="3.23 POSTE DE ENERGIA"/>
    <s v=" Instalação de Poste Padrão de Energia"/>
    <s v="Conta a Pagar"/>
    <s v="N/D"/>
    <s v="N/D"/>
    <s v="Outros"/>
    <x v="4"/>
  </r>
  <r>
    <m/>
    <m/>
    <d v="2026-06-19T00:00:00"/>
    <d v="2026-06-19T00:00:00"/>
    <x v="31"/>
    <x v="5"/>
    <x v="1"/>
    <x v="22"/>
    <n v="-32000"/>
    <n v="0"/>
    <n v="-32000"/>
    <s v="Caixinha"/>
    <s v="3.23 POSTE DE ENERGIA"/>
    <s v=" Poste de Energia - padrão da concessionária local"/>
    <s v="Conta a Pagar"/>
    <s v="N/D"/>
    <s v="N/D"/>
    <s v="Outros"/>
    <x v="4"/>
  </r>
  <r>
    <m/>
    <m/>
    <d v="2026-06-19T00:00:00"/>
    <d v="2026-06-19T00:00:00"/>
    <x v="31"/>
    <x v="5"/>
    <x v="1"/>
    <x v="22"/>
    <n v="-19200"/>
    <n v="0"/>
    <n v="-19200"/>
    <s v="Caixinha"/>
    <s v="3.23 POSTE DE ENERGIA"/>
    <s v=" Instalação de Poste Padrão de Energia"/>
    <s v="Conta a Pagar"/>
    <s v="N/D"/>
    <s v="N/D"/>
    <s v="Outros"/>
    <x v="4"/>
  </r>
  <r>
    <m/>
    <m/>
    <d v="2026-05-22T00:00:00"/>
    <d v="2026-05-22T00:00:00"/>
    <x v="17"/>
    <x v="5"/>
    <x v="1"/>
    <x v="22"/>
    <n v="-6544"/>
    <n v="0"/>
    <n v="-6544"/>
    <s v="Caixinha"/>
    <s v="3.24  ENTRADA DE ÁGUA"/>
    <s v=" Kit cavalete e hidrômetro - padrão corsan"/>
    <s v="Conta a Pagar"/>
    <s v="N/D"/>
    <s v="N/D"/>
    <s v="Outros"/>
    <x v="4"/>
  </r>
  <r>
    <m/>
    <m/>
    <d v="2026-05-22T00:00:00"/>
    <d v="2026-05-22T00:00:00"/>
    <x v="8"/>
    <x v="5"/>
    <x v="1"/>
    <x v="22"/>
    <n v="-17600"/>
    <n v="0"/>
    <n v="-17600"/>
    <s v="Caixinha"/>
    <s v="3.24  ENTRADA DE ÁGUA"/>
    <s v=" Mureta padrão corsan com caixa de polietileno padrão corsan instalada"/>
    <s v="Conta a Pagar"/>
    <s v="N/D"/>
    <s v="N/D"/>
    <s v="Outros"/>
    <x v="4"/>
  </r>
  <r>
    <m/>
    <m/>
    <d v="2026-06-19T00:00:00"/>
    <d v="2026-06-19T00:00:00"/>
    <x v="27"/>
    <x v="5"/>
    <x v="1"/>
    <x v="22"/>
    <n v="-6544"/>
    <n v="0"/>
    <n v="-6544"/>
    <s v="Caixinha"/>
    <s v="3.24  ENTRADA DE ÁGUA"/>
    <s v=" Kit cavalete e hidrômetro - padrão corsan"/>
    <s v="Conta a Pagar"/>
    <s v="N/D"/>
    <s v="N/D"/>
    <s v="Outros"/>
    <x v="4"/>
  </r>
  <r>
    <m/>
    <m/>
    <d v="2026-06-19T00:00:00"/>
    <d v="2026-06-19T00:00:00"/>
    <x v="47"/>
    <x v="5"/>
    <x v="1"/>
    <x v="22"/>
    <n v="-17600"/>
    <n v="0"/>
    <n v="-17600"/>
    <s v="Caixinha"/>
    <s v="3.24  ENTRADA DE ÁGUA"/>
    <s v=" Mureta padrão corsan com caixa de polietileno padrão corsan instalada"/>
    <s v="Conta a Pagar"/>
    <s v="N/D"/>
    <s v="N/D"/>
    <s v="Outros"/>
    <x v="4"/>
  </r>
  <r>
    <m/>
    <m/>
    <d v="2026-06-05T00:00:00"/>
    <d v="2026-06-05T00:00:00"/>
    <x v="25"/>
    <x v="5"/>
    <x v="1"/>
    <x v="16"/>
    <n v="-6240"/>
    <n v="0"/>
    <n v="-6240"/>
    <s v="Caixinha"/>
    <s v="3.25  CALÇADA DE ACESSO"/>
    <s v=" Brita 01 para espalhamento"/>
    <s v="Conta a Pagar"/>
    <s v="N/D"/>
    <s v="N/D"/>
    <s v="Outros"/>
    <x v="4"/>
  </r>
  <r>
    <m/>
    <m/>
    <d v="2026-06-05T00:00:00"/>
    <d v="2026-06-05T00:00:00"/>
    <x v="25"/>
    <x v="5"/>
    <x v="1"/>
    <x v="15"/>
    <n v="-1292.1600000000001"/>
    <n v="0"/>
    <n v="-1292.1600000000001"/>
    <s v="Caixinha"/>
    <s v="3.25  CALÇADA DE ACESSO"/>
    <s v=" Sarrafo 2,5x7,5x600cm em pinus"/>
    <s v="Conta a Pagar"/>
    <s v="N/D"/>
    <s v="N/D"/>
    <s v="Outros"/>
    <x v="4"/>
  </r>
  <r>
    <m/>
    <m/>
    <d v="2026-06-05T00:00:00"/>
    <d v="2026-06-05T00:00:00"/>
    <x v="25"/>
    <x v="5"/>
    <x v="1"/>
    <x v="9"/>
    <n v="-3196.8"/>
    <n v="0"/>
    <n v="-3196.8"/>
    <s v="Caixinha"/>
    <s v="3.25  CALÇADA DE ACESSO"/>
    <s v=" Tela Q - 61 aço CA50 a c/10 4.2mm"/>
    <s v="Conta a Pagar"/>
    <s v="N/D"/>
    <s v="N/D"/>
    <s v="Outros"/>
    <x v="4"/>
  </r>
  <r>
    <m/>
    <m/>
    <d v="2026-06-05T00:00:00"/>
    <d v="2026-06-05T00:00:00"/>
    <x v="25"/>
    <x v="5"/>
    <x v="1"/>
    <x v="9"/>
    <n v="-640"/>
    <n v="0"/>
    <n v="-640"/>
    <s v="Caixinha"/>
    <s v="3.25  CALÇADA DE ACESSO"/>
    <s v=" Prego 17 x 27 cabeça simples"/>
    <s v="Conta a Pagar"/>
    <s v="N/D"/>
    <s v="N/D"/>
    <s v="Outros"/>
    <x v="4"/>
  </r>
  <r>
    <m/>
    <m/>
    <d v="2026-06-05T00:00:00"/>
    <d v="2026-06-05T00:00:00"/>
    <x v="25"/>
    <x v="5"/>
    <x v="1"/>
    <x v="19"/>
    <n v="-15872"/>
    <n v="0"/>
    <n v="-15872"/>
    <s v="Caixinha"/>
    <s v="3.25  CALÇADA DE ACESSO"/>
    <s v=" concreto usinado FCK 20 Mpa"/>
    <s v="Conta a Pagar"/>
    <s v="N/D"/>
    <s v="N/D"/>
    <s v="Outros"/>
    <x v="4"/>
  </r>
  <r>
    <m/>
    <m/>
    <d v="2026-06-19T00:00:00"/>
    <d v="2026-06-19T00:00:00"/>
    <x v="40"/>
    <x v="5"/>
    <x v="1"/>
    <x v="9"/>
    <n v="-640"/>
    <n v="0"/>
    <n v="-640"/>
    <s v="Caixinha"/>
    <s v="3.25  CALÇADA DE ACESSO"/>
    <s v=" Prego 17 x 27 cabeça simples"/>
    <s v="Conta a Pagar"/>
    <s v="N/D"/>
    <s v="N/D"/>
    <s v="Outros"/>
    <x v="4"/>
  </r>
  <r>
    <m/>
    <m/>
    <d v="2026-06-19T00:00:00"/>
    <d v="2026-06-19T00:00:00"/>
    <x v="40"/>
    <x v="5"/>
    <x v="1"/>
    <x v="16"/>
    <n v="-6240"/>
    <n v="0"/>
    <n v="-6240"/>
    <s v="Caixinha"/>
    <s v="3.25  CALÇADA DE ACESSO"/>
    <s v=" Brita 01 para espalhamento"/>
    <s v="Conta a Pagar"/>
    <s v="N/D"/>
    <s v="N/D"/>
    <s v="Outros"/>
    <x v="4"/>
  </r>
  <r>
    <m/>
    <m/>
    <d v="2026-06-19T00:00:00"/>
    <d v="2026-06-19T00:00:00"/>
    <x v="40"/>
    <x v="5"/>
    <x v="1"/>
    <x v="15"/>
    <n v="-1292.1600000000001"/>
    <n v="0"/>
    <n v="-1292.1600000000001"/>
    <s v="Caixinha"/>
    <s v="3.25  CALÇADA DE ACESSO"/>
    <s v=" Sarrafo 2,5x7,5x600cm em pinus"/>
    <s v="Conta a Pagar"/>
    <s v="N/D"/>
    <s v="N/D"/>
    <s v="Outros"/>
    <x v="4"/>
  </r>
  <r>
    <m/>
    <m/>
    <d v="2026-06-19T00:00:00"/>
    <d v="2026-06-19T00:00:00"/>
    <x v="40"/>
    <x v="5"/>
    <x v="1"/>
    <x v="19"/>
    <n v="-15872"/>
    <n v="0"/>
    <n v="-15872"/>
    <s v="Caixinha"/>
    <s v="3.25  CALÇADA DE ACESSO"/>
    <s v=" concreto usinado FCK 20 Mpa"/>
    <s v="Conta a Pagar"/>
    <s v="N/D"/>
    <s v="N/D"/>
    <s v="Outros"/>
    <x v="4"/>
  </r>
  <r>
    <m/>
    <m/>
    <d v="2026-06-19T00:00:00"/>
    <d v="2026-06-19T00:00:00"/>
    <x v="40"/>
    <x v="5"/>
    <x v="1"/>
    <x v="9"/>
    <n v="-3196.8"/>
    <n v="0"/>
    <n v="-3196.8"/>
    <s v="Caixinha"/>
    <s v="3.25  CALÇADA DE ACESSO"/>
    <s v=" Tela Q - 61 aço CA50 a c/10 4.2mm"/>
    <s v="Conta a Pagar"/>
    <s v="N/D"/>
    <s v="N/D"/>
    <s v="Outros"/>
    <x v="4"/>
  </r>
  <r>
    <m/>
    <m/>
    <d v="2026-07-17T00:00:00"/>
    <d v="2026-07-17T00:00:00"/>
    <x v="36"/>
    <x v="5"/>
    <x v="1"/>
    <x v="23"/>
    <n v="-3349.66"/>
    <n v="0"/>
    <n v="-3349.66"/>
    <s v="Caixinha"/>
    <s v="3.26  LIMPEZA FINAL DE OBRA"/>
    <s v=" Mao de obra terceirizada limpeza final"/>
    <s v="Conta a Pagar"/>
    <s v="N/D"/>
    <s v="N/D"/>
    <s v="Outros"/>
    <x v="4"/>
  </r>
  <r>
    <m/>
    <m/>
    <d v="2026-06-19T00:00:00"/>
    <d v="2026-06-19T00:00:00"/>
    <x v="40"/>
    <x v="5"/>
    <x v="1"/>
    <x v="23"/>
    <n v="-579.36"/>
    <n v="0"/>
    <n v="-579.36"/>
    <s v="Caixinha"/>
    <s v="3.26  LIMPEZA FINAL DE OBRA"/>
    <s v=" ÁLCOOL 70 LIQUIDO 5L"/>
    <s v="Conta a Pagar"/>
    <s v="N/D"/>
    <s v="N/D"/>
    <s v="Outros"/>
    <x v="4"/>
  </r>
  <r>
    <m/>
    <m/>
    <d v="2026-07-03T00:00:00"/>
    <d v="2026-07-03T00:00:00"/>
    <x v="26"/>
    <x v="5"/>
    <x v="1"/>
    <x v="23"/>
    <n v="-246.88"/>
    <n v="0"/>
    <n v="-246.88"/>
    <s v="Caixinha"/>
    <s v="3.26  LIMPEZA FINAL DE OBRA"/>
    <s v=" DESINFETANTE 5L"/>
    <s v="Conta a Pagar"/>
    <s v="N/D"/>
    <s v="N/D"/>
    <s v="Outros"/>
    <x v="4"/>
  </r>
  <r>
    <m/>
    <m/>
    <d v="2026-07-03T00:00:00"/>
    <d v="2026-07-03T00:00:00"/>
    <x v="34"/>
    <x v="5"/>
    <x v="1"/>
    <x v="23"/>
    <n v="-932.48"/>
    <n v="0"/>
    <n v="-932.48"/>
    <s v="Caixinha"/>
    <s v="3.26  LIMPEZA FINAL DE OBRA"/>
    <s v=" Mao de obra terceirizada limpeza final"/>
    <s v="Conta a Pagar"/>
    <s v="N/D"/>
    <s v="N/D"/>
    <s v="Outros"/>
    <x v="4"/>
  </r>
  <r>
    <m/>
    <m/>
    <d v="2026-06-19T00:00:00"/>
    <d v="2026-06-19T00:00:00"/>
    <x v="40"/>
    <x v="5"/>
    <x v="1"/>
    <x v="23"/>
    <n v="-250.72"/>
    <n v="0"/>
    <n v="-250.72"/>
    <s v="Caixinha"/>
    <s v="3.26  LIMPEZA FINAL DE OBRA"/>
    <s v=" DETERGENTE 5L"/>
    <s v="Conta a Pagar"/>
    <s v="N/D"/>
    <s v="N/D"/>
    <s v="Outros"/>
    <x v="4"/>
  </r>
  <r>
    <m/>
    <m/>
    <d v="2026-06-19T00:00:00"/>
    <d v="2026-06-19T00:00:00"/>
    <x v="31"/>
    <x v="5"/>
    <x v="1"/>
    <x v="23"/>
    <n v="-931.48"/>
    <n v="0"/>
    <n v="-931.48"/>
    <s v="Caixinha"/>
    <s v="3.26  LIMPEZA FINAL DE OBRA"/>
    <s v=" Mao de obra terceirizada limpeza final"/>
    <s v="Conta a Pagar"/>
    <s v="N/D"/>
    <s v="N/D"/>
    <s v="Outros"/>
    <x v="4"/>
  </r>
  <r>
    <m/>
    <m/>
    <d v="2026-07-03T00:00:00"/>
    <d v="2026-07-03T00:00:00"/>
    <x v="26"/>
    <x v="5"/>
    <x v="1"/>
    <x v="23"/>
    <n v="-250.72"/>
    <n v="0"/>
    <n v="-250.72"/>
    <s v="Caixinha"/>
    <s v="3.26  LIMPEZA FINAL DE OBRA"/>
    <s v=" DETERGENTE 5L"/>
    <s v="Conta a Pagar"/>
    <s v="N/D"/>
    <s v="N/D"/>
    <s v="Outros"/>
    <x v="4"/>
  </r>
  <r>
    <m/>
    <m/>
    <d v="2026-06-19T00:00:00"/>
    <d v="2026-06-19T00:00:00"/>
    <x v="40"/>
    <x v="5"/>
    <x v="1"/>
    <x v="23"/>
    <n v="-246.88"/>
    <n v="0"/>
    <n v="-246.88"/>
    <s v="Caixinha"/>
    <s v="3.26  LIMPEZA FINAL DE OBRA"/>
    <s v=" DESINFETANTE 5L"/>
    <s v="Conta a Pagar"/>
    <s v="N/D"/>
    <s v="N/D"/>
    <s v="Outros"/>
    <x v="4"/>
  </r>
  <r>
    <m/>
    <m/>
    <d v="2026-07-03T00:00:00"/>
    <d v="2026-07-03T00:00:00"/>
    <x v="26"/>
    <x v="5"/>
    <x v="1"/>
    <x v="23"/>
    <n v="-579.36"/>
    <n v="0"/>
    <n v="-579.36"/>
    <s v="Caixinha"/>
    <s v="3.26  LIMPEZA FINAL DE OBRA"/>
    <s v=" ÁLCOOL 70 LIQUIDO 5L"/>
    <s v="Conta a Pagar"/>
    <s v="N/D"/>
    <s v="N/D"/>
    <s v="Outros"/>
    <x v="4"/>
  </r>
  <r>
    <m/>
    <m/>
    <d v="2026-07-31T00:00:00"/>
    <d v="2026-07-31T00:00:00"/>
    <x v="39"/>
    <x v="5"/>
    <x v="1"/>
    <x v="23"/>
    <n v="-4727.5"/>
    <n v="0"/>
    <n v="-4727.5"/>
    <s v="Caixinha"/>
    <s v="3.26  LIMPEZA FINAL DE OBRA"/>
    <s v=" Mao de obra terceirizada limpeza final"/>
    <s v="Conta a Pagar"/>
    <s v="N/D"/>
    <s v="N/D"/>
    <s v="Outros"/>
    <x v="4"/>
  </r>
  <r>
    <m/>
    <m/>
    <d v="2026-04-10T00:00:00"/>
    <d v="2026-04-10T00:00:00"/>
    <x v="48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4-10T00:00:00"/>
    <d v="2026-04-10T00:00:00"/>
    <x v="48"/>
    <x v="12"/>
    <x v="1"/>
    <x v="24"/>
    <n v="-2000"/>
    <n v="0"/>
    <n v="-2000"/>
    <s v="Caixinha"/>
    <s v="3.27  GESTÃO LOCAL"/>
    <s v=" FINANCEIRO (terceirizado)"/>
    <s v="Conta a Pagar"/>
    <s v="N/D"/>
    <s v="N/D"/>
    <s v="Outros"/>
    <x v="5"/>
  </r>
  <r>
    <m/>
    <m/>
    <d v="2026-04-10T00:00:00"/>
    <d v="2026-04-10T00:00:00"/>
    <x v="48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4-26T00:00:00"/>
    <d v="2026-04-26T00:00:00"/>
    <x v="49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3-27T00:00:00"/>
    <d v="2026-03-27T00:00:00"/>
    <x v="50"/>
    <x v="5"/>
    <x v="1"/>
    <x v="23"/>
    <n v="-2500"/>
    <n v="0"/>
    <n v="-2500"/>
    <s v="Caixinha"/>
    <s v="3.27  GESTÃO LOCAL"/>
    <s v=" Bebedouro"/>
    <s v="Conta a Pagar"/>
    <s v="N/D"/>
    <s v="10"/>
    <s v="Outros"/>
    <x v="4"/>
  </r>
  <r>
    <m/>
    <m/>
    <d v="2026-04-10T00:00:00"/>
    <d v="2026-04-10T00:00:00"/>
    <x v="48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4-10T00:00:00"/>
    <d v="2026-04-10T00:00:00"/>
    <x v="48"/>
    <x v="14"/>
    <x v="1"/>
    <x v="24"/>
    <n v="-15000"/>
    <n v="-5000"/>
    <n v="-10000"/>
    <s v="Caixinha"/>
    <s v="3.27  GESTÃO LOCAL"/>
    <s v=" ENGENHEIRO RESIDENTE  - carro e gasolina inclusos"/>
    <s v="Conta a Pagar"/>
    <s v="N/D"/>
    <s v="N/D"/>
    <s v="Outros"/>
    <x v="5"/>
  </r>
  <r>
    <m/>
    <m/>
    <d v="2026-04-10T00:00:00"/>
    <d v="2026-04-10T00:00:00"/>
    <x v="51"/>
    <x v="5"/>
    <x v="1"/>
    <x v="17"/>
    <n v="-1100"/>
    <n v="0"/>
    <n v="-1100"/>
    <s v="Caixinha"/>
    <s v="3.27  GESTÃO LOCAL"/>
    <s v=" Aluguel container escritorio"/>
    <s v="Conta a Pagar"/>
    <s v="N/D"/>
    <s v="N/D"/>
    <s v="Outros"/>
    <x v="4"/>
  </r>
  <r>
    <m/>
    <m/>
    <d v="2026-05-08T00:00:00"/>
    <d v="2026-05-08T00:00:00"/>
    <x v="27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5-26T00:00:00"/>
    <d v="2026-05-26T00:00:00"/>
    <x v="18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5-08T00:00:00"/>
    <d v="2026-05-08T00:00:00"/>
    <x v="27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3-27T00:00:00"/>
    <d v="2026-03-27T00:00:00"/>
    <x v="51"/>
    <x v="5"/>
    <x v="1"/>
    <x v="17"/>
    <n v="-6100"/>
    <n v="0"/>
    <n v="-6100"/>
    <s v="Caixinha"/>
    <s v="3.27  GESTÃO LOCAL"/>
    <s v=" mobilização / desmobilzaçao containers"/>
    <s v="Conta a Pagar"/>
    <s v="N/D"/>
    <s v="8"/>
    <s v="Outros"/>
    <x v="4"/>
  </r>
  <r>
    <m/>
    <m/>
    <d v="2026-04-24T00:00:00"/>
    <d v="2026-04-24T00:00:00"/>
    <x v="52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4-10T00:00:00"/>
    <d v="2026-04-10T00:00:00"/>
    <x v="51"/>
    <x v="5"/>
    <x v="1"/>
    <x v="17"/>
    <n v="-750"/>
    <n v="0"/>
    <n v="-750"/>
    <s v="Caixinha"/>
    <s v="3.27  GESTÃO LOCAL"/>
    <s v=" Aluguel container Banheiro"/>
    <s v="Conta a Pagar"/>
    <s v="N/D"/>
    <s v="N/D"/>
    <s v="Outros"/>
    <x v="4"/>
  </r>
  <r>
    <m/>
    <m/>
    <d v="2026-05-08T00:00:00"/>
    <d v="2026-05-08T00:00:00"/>
    <x v="27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5-10T00:00:00"/>
    <d v="2026-05-10T00:00:00"/>
    <x v="53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5-08T00:00:00"/>
    <d v="2026-05-08T00:00:00"/>
    <x v="27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5-08T00:00:00"/>
    <d v="2026-05-08T00:00:00"/>
    <x v="27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4-10T00:00:00"/>
    <d v="2026-04-10T00:00:00"/>
    <x v="51"/>
    <x v="5"/>
    <x v="1"/>
    <x v="17"/>
    <n v="-750"/>
    <n v="0"/>
    <n v="-750"/>
    <s v="Caixinha"/>
    <s v="3.27  GESTÃO LOCAL"/>
    <s v=" Aluguel container almoxarifado"/>
    <s v="Conta a Pagar"/>
    <s v="N/D"/>
    <s v="N/D"/>
    <s v="Outros"/>
    <x v="4"/>
  </r>
  <r>
    <m/>
    <m/>
    <d v="2026-06-05T00:00:00"/>
    <d v="2026-06-05T00:00:00"/>
    <x v="29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5-10T00:00:00"/>
    <d v="2026-05-10T00:00:00"/>
    <x v="54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5-22T00:00:00"/>
    <d v="2026-05-22T00:00:00"/>
    <x v="55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5-10T00:00:00"/>
    <d v="2026-05-10T00:00:00"/>
    <x v="54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6-10T00:00:00"/>
    <d v="2026-06-10T00:00:00"/>
    <x v="56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6-05T00:00:00"/>
    <d v="2026-06-05T00:00:00"/>
    <x v="29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5-10T00:00:00"/>
    <d v="2026-05-10T00:00:00"/>
    <x v="54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6-25T00:00:00"/>
    <d v="2026-06-25T00:00:00"/>
    <x v="56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6-05T00:00:00"/>
    <d v="2026-06-05T00:00:00"/>
    <x v="29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6-05T00:00:00"/>
    <d v="2026-06-05T00:00:00"/>
    <x v="29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6-05T00:00:00"/>
    <d v="2026-06-05T00:00:00"/>
    <x v="29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7-10T00:00:00"/>
    <d v="2026-07-10T00:00:00"/>
    <x v="57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7-03T00:00:00"/>
    <d v="2026-07-03T00:00:00"/>
    <x v="34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7-03T00:00:00"/>
    <d v="2026-07-03T00:00:00"/>
    <x v="34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6-10T00:00:00"/>
    <d v="2026-06-10T00:00:00"/>
    <x v="58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7-03T00:00:00"/>
    <d v="2026-07-03T00:00:00"/>
    <x v="34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6-10T00:00:00"/>
    <d v="2026-06-10T00:00:00"/>
    <x v="58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6-10T00:00:00"/>
    <d v="2026-06-10T00:00:00"/>
    <x v="58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7-03T00:00:00"/>
    <d v="2026-07-03T00:00:00"/>
    <x v="34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7-10T00:00:00"/>
    <d v="2026-07-10T00:00:00"/>
    <x v="36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7-10T00:00:00"/>
    <d v="2026-07-10T00:00:00"/>
    <x v="36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7-03T00:00:00"/>
    <d v="2026-07-03T00:00:00"/>
    <x v="36"/>
    <x v="5"/>
    <x v="1"/>
    <x v="17"/>
    <n v="-6100"/>
    <n v="0"/>
    <n v="-6100"/>
    <s v="Caixinha"/>
    <s v="3.27  GESTÃO LOCAL"/>
    <s v=" mobilização / desmobilzaçao containers"/>
    <s v="Conta a Pagar"/>
    <s v="N/D"/>
    <s v="8"/>
    <s v="Outros"/>
    <x v="4"/>
  </r>
  <r>
    <m/>
    <m/>
    <d v="2026-07-10T00:00:00"/>
    <d v="2026-07-10T00:00:00"/>
    <x v="36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8-10T00:00:00"/>
    <d v="2026-08-10T00:00:00"/>
    <x v="59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3-18T00:00:00"/>
    <d v="2026-03-18T00:00:00"/>
    <x v="60"/>
    <x v="5"/>
    <x v="0"/>
    <x v="4"/>
    <n v="64000"/>
    <n v="0"/>
    <n v="64000"/>
    <s v="Caixinha"/>
    <s v="3.28  DESPESAS ACESSÓRIAS"/>
    <s v="DEVOLUÇÃO CAUÇÃO"/>
    <s v="Conta a Receber"/>
    <s v="N/D"/>
    <s v="N/D"/>
    <s v="Outros"/>
    <x v="1"/>
  </r>
  <r>
    <m/>
    <m/>
    <d v="2026-03-27T00:00:00"/>
    <d v="2026-03-27T00:00:00"/>
    <x v="9"/>
    <x v="5"/>
    <x v="1"/>
    <x v="24"/>
    <n v="-16000"/>
    <n v="0"/>
    <n v="-16000"/>
    <s v="Caixinha"/>
    <s v="3.28  DESPESAS ACESSÓRIAS"/>
    <s v="LOGISTICA GESTÃO VISITA À OBRA"/>
    <s v="Conta a Pagar"/>
    <s v="N/D"/>
    <s v="14"/>
    <s v="Outros"/>
    <x v="5"/>
  </r>
  <r>
    <m/>
    <m/>
    <d v="2026-04-24T00:00:00"/>
    <d v="2026-04-24T00:00:00"/>
    <x v="28"/>
    <x v="15"/>
    <x v="1"/>
    <x v="25"/>
    <n v="-241333.33"/>
    <n v="0"/>
    <n v="-241333.33"/>
    <s v="Caixa Econômica Federal"/>
    <s v="3.3 PAREDES COM CONCRETO"/>
    <s v=" contrato industrializaçao paredes"/>
    <s v="Conta a Pagar"/>
    <s v="N/D"/>
    <s v="7"/>
    <s v="Outros"/>
    <x v="4"/>
  </r>
  <r>
    <m/>
    <m/>
    <d v="2026-05-24T00:00:00"/>
    <d v="2026-05-24T00:00:00"/>
    <x v="45"/>
    <x v="15"/>
    <x v="1"/>
    <x v="25"/>
    <n v="-241333.33"/>
    <n v="0"/>
    <n v="-241333.33"/>
    <s v="Caixa Econômica Federal"/>
    <s v="3.3 PAREDES COM CONCRETO"/>
    <s v=" contrato industrializaçao paredes"/>
    <s v="Contas a Pagar (repetição)"/>
    <s v="N/D"/>
    <s v="7"/>
    <s v="Outros"/>
    <x v="4"/>
  </r>
  <r>
    <m/>
    <m/>
    <d v="2026-06-24T00:00:00"/>
    <d v="2026-06-24T00:00:00"/>
    <x v="46"/>
    <x v="15"/>
    <x v="1"/>
    <x v="25"/>
    <n v="-241333.33"/>
    <n v="0"/>
    <n v="-241333.33"/>
    <s v="Caixa Econômica Federal"/>
    <s v="3.3 PAREDES COM CONCRETO"/>
    <s v=" contrato industrializaçao paredes"/>
    <s v="Contas a Pagar (repetição)"/>
    <s v="N/D"/>
    <s v="7"/>
    <s v="Outros"/>
    <x v="4"/>
  </r>
  <r>
    <m/>
    <m/>
    <d v="2026-04-24T00:00:00"/>
    <d v="2026-04-24T00:00:00"/>
    <x v="28"/>
    <x v="15"/>
    <x v="1"/>
    <x v="25"/>
    <n v="-38381.9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4-24T00:00:00"/>
    <d v="2026-04-24T00:00:00"/>
    <x v="28"/>
    <x v="15"/>
    <x v="1"/>
    <x v="25"/>
    <n v="-62200.85"/>
    <n v="0"/>
    <n v="-62200.85"/>
    <s v="Caixinha"/>
    <s v="3.3 PAREDES COM CONCRETO"/>
    <s v=" material FERRO: KIT Parede e Laje - FOB na Fabrica"/>
    <s v="Conta a Pagar"/>
    <s v="N/D"/>
    <s v="N/D"/>
    <s v="Outros"/>
    <x v="4"/>
  </r>
  <r>
    <m/>
    <m/>
    <d v="2026-04-24T00:00:00"/>
    <d v="2026-04-24T00:00:00"/>
    <x v="27"/>
    <x v="16"/>
    <x v="1"/>
    <x v="7"/>
    <n v="-127200"/>
    <n v="0"/>
    <n v="-1272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5-08T00:00:00"/>
    <d v="2026-05-08T00:00:00"/>
    <x v="27"/>
    <x v="15"/>
    <x v="1"/>
    <x v="25"/>
    <n v="-46058.28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5-08T00:00:00"/>
    <d v="2026-05-08T00:00:00"/>
    <x v="27"/>
    <x v="15"/>
    <x v="1"/>
    <x v="25"/>
    <n v="-31100.43"/>
    <n v="0"/>
    <n v="-31100.43"/>
    <s v="Caixinha"/>
    <s v="3.3 PAREDES COM CONCRETO"/>
    <s v=" material FERRO: KIT Parede e Laje - FOB na Fabrica"/>
    <s v="Conta a Pagar"/>
    <s v="N/D"/>
    <s v="N/D"/>
    <s v="Outros"/>
    <x v="4"/>
  </r>
  <r>
    <m/>
    <m/>
    <d v="2026-05-08T00:00:00"/>
    <d v="2026-05-08T00:00:00"/>
    <x v="61"/>
    <x v="16"/>
    <x v="1"/>
    <x v="26"/>
    <m/>
    <n v="0"/>
    <n v="-7484.4"/>
    <s v="Caixinha"/>
    <s v="3.3 PAREDES COM CONCRETO"/>
    <s v=" mobilizaçao e desmobilização equipe montagem"/>
    <s v="Conta a Pagar"/>
    <s v="N/D"/>
    <s v="N/D"/>
    <s v="Outros"/>
    <x v="5"/>
  </r>
  <r>
    <m/>
    <m/>
    <d v="2026-05-08T00:00:00"/>
    <d v="2026-05-08T00:00:00"/>
    <x v="30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m/>
    <m/>
    <x v="61"/>
    <x v="17"/>
    <x v="1"/>
    <x v="26"/>
    <m/>
    <m/>
    <n v="-190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d v="2026-05-22T00:00:00"/>
    <d v="2026-05-22T00:00:00"/>
    <x v="30"/>
    <x v="15"/>
    <x v="1"/>
    <x v="25"/>
    <n v="-38381.9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5-22T00:00:00"/>
    <d v="2026-05-22T00:00:00"/>
    <x v="30"/>
    <x v="15"/>
    <x v="1"/>
    <x v="25"/>
    <n v="-130621.8"/>
    <n v="0"/>
    <n v="-130621.8"/>
    <s v="Caixinha"/>
    <s v="3.3 PAREDES COM CONCRETO"/>
    <s v=" material FERRO: KIT Parede e Laje - FOB na Fabrica"/>
    <s v="Conta a Pagar"/>
    <s v="N/D"/>
    <s v="N/D"/>
    <s v="Outros"/>
    <x v="4"/>
  </r>
  <r>
    <m/>
    <m/>
    <d v="2026-05-22T00:00:00"/>
    <d v="2026-05-22T00:00:00"/>
    <x v="18"/>
    <x v="16"/>
    <x v="1"/>
    <x v="26"/>
    <m/>
    <n v="0"/>
    <n v="-2245.3200000000002"/>
    <s v="Caixinha"/>
    <s v="3.3 PAREDES COM CONCRETO"/>
    <s v=" mobilizaçao e desmobilização equipe montagem"/>
    <s v="Conta a Pagar"/>
    <s v="N/D"/>
    <s v="N/D"/>
    <s v="Outros"/>
    <x v="5"/>
  </r>
  <r>
    <m/>
    <m/>
    <d v="2026-05-22T00:00:00"/>
    <d v="2026-05-22T00:00:00"/>
    <x v="29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m/>
    <m/>
    <x v="28"/>
    <x v="17"/>
    <x v="1"/>
    <x v="26"/>
    <m/>
    <m/>
    <n v="-57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7"/>
    <x v="17"/>
    <x v="1"/>
    <x v="26"/>
    <m/>
    <m/>
    <n v="-57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8"/>
    <x v="17"/>
    <x v="1"/>
    <x v="27"/>
    <m/>
    <m/>
    <n v="-1153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27"/>
    <x v="17"/>
    <x v="1"/>
    <x v="27"/>
    <m/>
    <m/>
    <n v="-13457.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8"/>
    <x v="17"/>
    <x v="1"/>
    <x v="27"/>
    <m/>
    <m/>
    <n v="-13457.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28"/>
    <x v="17"/>
    <x v="1"/>
    <x v="27"/>
    <m/>
    <m/>
    <n v="-11430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d v="2026-05-08T00:00:00"/>
    <d v="2026-05-08T00:00:00"/>
    <x v="27"/>
    <x v="17"/>
    <x v="1"/>
    <x v="26"/>
    <m/>
    <m/>
    <n v="-1333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0"/>
    <x v="17"/>
    <x v="1"/>
    <x v="26"/>
    <m/>
    <m/>
    <n v="-1333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8"/>
    <x v="17"/>
    <x v="1"/>
    <x v="26"/>
    <m/>
    <m/>
    <n v="-103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7"/>
    <x v="17"/>
    <x v="1"/>
    <x v="26"/>
    <m/>
    <m/>
    <n v="-1207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9"/>
    <x v="17"/>
    <x v="1"/>
    <x v="26"/>
    <m/>
    <m/>
    <n v="-1207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27"/>
    <x v="17"/>
    <x v="1"/>
    <x v="26"/>
    <m/>
    <m/>
    <n v="-927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0"/>
    <x v="17"/>
    <x v="1"/>
    <x v="27"/>
    <m/>
    <m/>
    <n v="-1081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29"/>
    <x v="17"/>
    <x v="1"/>
    <x v="27"/>
    <m/>
    <m/>
    <n v="-1081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27"/>
    <x v="17"/>
    <x v="1"/>
    <x v="27"/>
    <m/>
    <m/>
    <n v="-3450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30"/>
    <x v="17"/>
    <x v="1"/>
    <x v="27"/>
    <m/>
    <m/>
    <n v="-4024.999999999999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29"/>
    <x v="17"/>
    <x v="1"/>
    <x v="27"/>
    <m/>
    <m/>
    <n v="-4024.999999999999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d v="2026-06-05T00:00:00"/>
    <d v="2026-06-05T00:00:00"/>
    <x v="29"/>
    <x v="15"/>
    <x v="1"/>
    <x v="25"/>
    <n v="-122822.08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6-05T00:00:00"/>
    <d v="2026-06-05T00:00:00"/>
    <x v="29"/>
    <x v="15"/>
    <x v="1"/>
    <x v="25"/>
    <n v="-21381.54"/>
    <n v="0"/>
    <n v="-68420.94"/>
    <s v="Caixinha"/>
    <s v="3.3 PAREDES COM CONCRETO"/>
    <s v=" material FERRO: KIT Parede e Laje - FOB na Fabrica"/>
    <s v="Conta a Pagar"/>
    <s v="N/D"/>
    <s v="N/D"/>
    <s v="Outros"/>
    <x v="4"/>
  </r>
  <r>
    <m/>
    <m/>
    <d v="2026-06-05T00:00:00"/>
    <d v="2026-06-05T00:00:00"/>
    <x v="29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6-19T00:00:00"/>
    <d v="2026-06-19T00:00:00"/>
    <x v="31"/>
    <x v="15"/>
    <x v="1"/>
    <x v="25"/>
    <n v="-102351.74"/>
    <n v="0"/>
    <n v="-102351.74"/>
    <s v="Caixinha"/>
    <s v="3.3 PAREDES COM CONCRETO"/>
    <s v=" material CIMENTO : KIT Parede e Laje - FOB na Fabrica"/>
    <s v="Conta a Pagar"/>
    <s v="N/D"/>
    <s v="N/D"/>
    <s v="Outros"/>
    <x v="4"/>
  </r>
  <r>
    <m/>
    <m/>
    <d v="2026-06-19T00:00:00"/>
    <d v="2026-06-19T00:00:00"/>
    <x v="31"/>
    <x v="15"/>
    <x v="1"/>
    <x v="25"/>
    <n v="-39653.040000000001"/>
    <n v="0"/>
    <n v="-105741.95"/>
    <s v="Caixinha"/>
    <s v="3.3 PAREDES COM CONCRETO"/>
    <s v=" material FERRO: KIT Parede e Laje - FOB na Fabrica"/>
    <s v="Conta a Pagar"/>
    <s v="N/D"/>
    <s v="N/D"/>
    <s v="Outros"/>
    <x v="4"/>
  </r>
  <r>
    <m/>
    <m/>
    <d v="2026-06-19T00:00:00"/>
    <d v="2026-06-19T00:00:00"/>
    <x v="31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7-03T00:00:00"/>
    <d v="2026-07-03T00:00:00"/>
    <x v="34"/>
    <x v="15"/>
    <x v="1"/>
    <x v="25"/>
    <n v="-10085.89"/>
    <n v="0"/>
    <n v="-32275"/>
    <s v="Caixinha"/>
    <s v="3.3 PAREDES COM CONCRETO"/>
    <s v=" material FERRO: KIT Parede e Laje - FOB na Fabrica"/>
    <s v="Conta a Pagar"/>
    <s v="N/D"/>
    <s v="N/D"/>
    <s v="Outros"/>
    <x v="4"/>
  </r>
  <r>
    <m/>
    <m/>
    <d v="2026-05-08T00:00:00"/>
    <d v="2026-05-08T00:00:00"/>
    <x v="5"/>
    <x v="18"/>
    <x v="1"/>
    <x v="6"/>
    <n v="-4864"/>
    <n v="0"/>
    <n v="-1057.92"/>
    <s v="Caixinha"/>
    <s v="3.4 GRAUTEAMENTO"/>
    <s v=" Aditivo supercristalizante Penetron"/>
    <s v="Conta a Pagar"/>
    <s v="N/D"/>
    <s v="N/D"/>
    <s v="Outros"/>
    <x v="4"/>
  </r>
  <r>
    <m/>
    <m/>
    <d v="2026-05-08T00:00:00"/>
    <d v="2026-05-08T00:00:00"/>
    <x v="62"/>
    <x v="18"/>
    <x v="1"/>
    <x v="6"/>
    <n v="-4864"/>
    <n v="0"/>
    <n v="-863.04"/>
    <s v="Caixinha"/>
    <s v="3.4 GRAUTEAMENTO"/>
    <s v=" Aditivo supercristalizante Penetron"/>
    <s v="Conta a Pagar"/>
    <s v="N/D"/>
    <s v="N/D"/>
    <s v="Outros"/>
    <x v="4"/>
  </r>
  <r>
    <m/>
    <m/>
    <d v="2026-05-08T00:00:00"/>
    <d v="2026-05-08T00:00:00"/>
    <x v="5"/>
    <x v="18"/>
    <x v="1"/>
    <x v="19"/>
    <n v="-5376"/>
    <n v="0"/>
    <n v="-2128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62"/>
    <x v="18"/>
    <x v="1"/>
    <x v="19"/>
    <n v="-5376"/>
    <n v="0"/>
    <n v="-1736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32"/>
    <x v="18"/>
    <x v="1"/>
    <x v="19"/>
    <n v="-5376"/>
    <n v="0"/>
    <n v="-1736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5"/>
    <x v="18"/>
    <x v="1"/>
    <x v="19"/>
    <n v="-4992"/>
    <n v="0"/>
    <n v="-1889.664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62"/>
    <x v="18"/>
    <x v="1"/>
    <x v="19"/>
    <n v="-4992"/>
    <n v="0"/>
    <n v="-1541.568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32"/>
    <x v="18"/>
    <x v="1"/>
    <x v="19"/>
    <n v="-4992"/>
    <n v="0"/>
    <n v="-1541.568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61"/>
    <x v="19"/>
    <x v="1"/>
    <x v="15"/>
    <n v="-5538.13"/>
    <n v="0"/>
    <n v="-3900"/>
    <s v="Caixinha"/>
    <s v="3.4 GRAUTEAMENTO"/>
    <s v=" Formas de tábua aparelhada de 20x2,5x540cm para fechamento de pilares"/>
    <s v="Conta a Pagar"/>
    <s v="N/D"/>
    <s v="N/D"/>
    <s v="Outros"/>
    <x v="4"/>
  </r>
  <r>
    <m/>
    <m/>
    <d v="2026-05-08T00:00:00"/>
    <d v="2026-05-08T00:00:00"/>
    <x v="63"/>
    <x v="19"/>
    <x v="1"/>
    <x v="15"/>
    <n v="-5538.13"/>
    <n v="0"/>
    <n v="-3900"/>
    <s v="Caixinha"/>
    <s v="3.4 GRAUTEAMENTO"/>
    <s v=" Formas de tábua aparelhada de 20x2,5x540cm para fechamento de pilares"/>
    <s v="Conta a Pagar"/>
    <s v="N/D"/>
    <s v="N/D"/>
    <s v="Outros"/>
    <x v="4"/>
  </r>
  <r>
    <m/>
    <m/>
    <d v="2026-05-08T00:00:00"/>
    <d v="2026-05-08T00:00:00"/>
    <x v="5"/>
    <x v="18"/>
    <x v="1"/>
    <x v="19"/>
    <n v="-14112"/>
    <n v="0"/>
    <n v="-12160"/>
    <s v="Caixinha"/>
    <s v="3.4 GRAUTEAMENTO"/>
    <s v=" graute:  cimento PortlanD CP IV 32"/>
    <s v="Conta a Pagar"/>
    <s v="N/D"/>
    <s v="N/D"/>
    <s v="Outros"/>
    <x v="4"/>
  </r>
  <r>
    <m/>
    <m/>
    <d v="2026-05-08T00:00:00"/>
    <d v="2026-05-08T00:00:00"/>
    <x v="6"/>
    <x v="20"/>
    <x v="1"/>
    <x v="17"/>
    <n v="-63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5-08T00:00:00"/>
    <d v="2026-05-08T00:00:00"/>
    <x v="62"/>
    <x v="18"/>
    <x v="1"/>
    <x v="19"/>
    <n v="-14112"/>
    <n v="0"/>
    <n v="-9920"/>
    <s v="Caixinha"/>
    <s v="3.4 GRAUTEAMENTO"/>
    <s v=" graute:  cimento PortlanD CP IV 32"/>
    <s v="Conta a Pagar"/>
    <s v="N/D"/>
    <s v="N/D"/>
    <s v="Outros"/>
    <x v="4"/>
  </r>
  <r>
    <m/>
    <m/>
    <d v="2026-06-05T00:00:00"/>
    <d v="2026-06-05T00:00:00"/>
    <x v="32"/>
    <x v="18"/>
    <x v="1"/>
    <x v="6"/>
    <n v="-4864"/>
    <n v="0"/>
    <n v="-863.04"/>
    <s v="Caixinha"/>
    <s v="3.4 GRAUTEAMENTO"/>
    <s v=" Aditivo supercristalizante Penetron"/>
    <s v="Conta a Pagar"/>
    <s v="N/D"/>
    <s v="N/D"/>
    <s v="Outros"/>
    <x v="4"/>
  </r>
  <r>
    <m/>
    <m/>
    <d v="2026-05-22T00:00:00"/>
    <d v="2026-05-22T00:00:00"/>
    <x v="9"/>
    <x v="20"/>
    <x v="1"/>
    <x v="17"/>
    <n v="-63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6-05T00:00:00"/>
    <d v="2026-06-05T00:00:00"/>
    <x v="13"/>
    <x v="20"/>
    <x v="1"/>
    <x v="17"/>
    <n v="-84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5-08T00:00:00"/>
    <d v="2026-05-08T00:00:00"/>
    <x v="32"/>
    <x v="18"/>
    <x v="1"/>
    <x v="19"/>
    <n v="-14112"/>
    <n v="0"/>
    <n v="-9920"/>
    <s v="Caixinha"/>
    <s v="3.4 GRAUTEAMENTO"/>
    <s v=" graute:  cimento PortlanD CP IV 32"/>
    <s v="Conta a Pagar"/>
    <s v="N/D"/>
    <s v="N/D"/>
    <s v="Outros"/>
    <x v="4"/>
  </r>
  <r>
    <m/>
    <m/>
    <d v="2026-05-08T00:00:00"/>
    <d v="2026-05-08T00:00:00"/>
    <x v="64"/>
    <x v="21"/>
    <x v="1"/>
    <x v="6"/>
    <n v="-2880"/>
    <n v="0"/>
    <n v="-2867.2000000000003"/>
    <s v="Caixinha"/>
    <s v="3.5 IMPERMEABILIZAÇAO INTERNA"/>
    <s v=" Membrana líquida de poliuretano bicomponente 15Kg semi flexivel"/>
    <s v="Conta a Pagar"/>
    <s v="N/D"/>
    <s v="N/D"/>
    <s v="Outros"/>
    <x v="4"/>
  </r>
  <r>
    <m/>
    <m/>
    <d v="2026-05-08T00:00:00"/>
    <d v="2026-05-08T00:00:00"/>
    <x v="61"/>
    <x v="22"/>
    <x v="1"/>
    <x v="6"/>
    <n v="-1127.58"/>
    <n v="0"/>
    <n v="-1500"/>
    <s v="Caixinha"/>
    <s v="3.5 IMPERMEABILIZAÇAO INTERNA"/>
    <s v=" Tela de Poliester"/>
    <s v="Conta a Pagar"/>
    <s v="N/D"/>
    <s v="N/D"/>
    <s v="Outros"/>
    <x v="4"/>
  </r>
  <r>
    <m/>
    <m/>
    <d v="2026-05-08T00:00:00"/>
    <d v="2026-05-08T00:00:00"/>
    <x v="65"/>
    <x v="21"/>
    <x v="1"/>
    <x v="6"/>
    <n v="-1440"/>
    <n v="0"/>
    <n v="-2867.2000000000003"/>
    <s v="Caixinha"/>
    <s v="3.5 IMPERMEABILIZAÇAO INTERNA"/>
    <s v=" Membrana líquida de poliuretano bicomponente 15Kg flexivel"/>
    <s v="Conta a Pagar"/>
    <s v="N/D"/>
    <s v="N/D"/>
    <s v="Outros"/>
    <x v="4"/>
  </r>
  <r>
    <m/>
    <m/>
    <d v="2026-05-08T00:00:00"/>
    <d v="2026-05-08T00:00:00"/>
    <x v="61"/>
    <x v="5"/>
    <x v="1"/>
    <x v="7"/>
    <n v="-3301.76"/>
    <n v="0"/>
    <n v="-700"/>
    <s v="Caixinha"/>
    <s v="3.5 IMPERMEABILIZAÇAO INTERNA"/>
    <s v=" FRETE Tilecol e Solda Sul"/>
    <s v="Conta a Pagar"/>
    <s v="N/D"/>
    <s v="N/D"/>
    <s v="Outros"/>
    <x v="4"/>
  </r>
  <r>
    <m/>
    <m/>
    <d v="2026-05-08T00:00:00"/>
    <d v="2026-05-08T00:00:00"/>
    <x v="27"/>
    <x v="5"/>
    <x v="1"/>
    <x v="7"/>
    <n v="-3301.76"/>
    <n v="0"/>
    <n v="-3301.76"/>
    <s v="Caixinha"/>
    <s v="3.5 IMPERMEABILIZAÇAO INTERNA"/>
    <s v=" Mao de obra Impermeabilização de áreas úmidas"/>
    <s v="Conta a Pagar"/>
    <s v="N/D"/>
    <s v="N/D"/>
    <s v="Outros"/>
    <x v="4"/>
  </r>
  <r>
    <m/>
    <m/>
    <d v="2026-04-24T00:00:00"/>
    <d v="2026-04-24T00:00:00"/>
    <x v="28"/>
    <x v="5"/>
    <x v="1"/>
    <x v="7"/>
    <n v="-3298.24"/>
    <n v="0"/>
    <n v="-3298.24"/>
    <s v="Caixinha"/>
    <s v="3.5 IMPERMEABILIZAÇAO INTERNA"/>
    <s v=" Mao de obra Impermeabilização de áreas úmidas"/>
    <s v="Conta a Pagar"/>
    <s v="N/D"/>
    <s v="N/D"/>
    <s v="Outros"/>
    <x v="4"/>
  </r>
  <r>
    <m/>
    <m/>
    <d v="2026-06-05T00:00:00"/>
    <d v="2026-06-05T00:00:00"/>
    <x v="29"/>
    <x v="5"/>
    <x v="1"/>
    <x v="7"/>
    <n v="-7832"/>
    <n v="0"/>
    <n v="-7832"/>
    <s v="Caixinha"/>
    <s v="3.5 IMPERMEABILIZAÇAO INTERNA"/>
    <s v=" Mao de obra Impermeabilização de áreas úmidas"/>
    <s v="Conta a Pagar"/>
    <s v="N/D"/>
    <s v="N/D"/>
    <s v="Outros"/>
    <x v="4"/>
  </r>
  <r>
    <m/>
    <m/>
    <d v="2026-05-22T00:00:00"/>
    <d v="2026-05-22T00:00:00"/>
    <x v="30"/>
    <x v="5"/>
    <x v="1"/>
    <x v="7"/>
    <n v="-11860.64"/>
    <n v="0"/>
    <n v="-11860.64"/>
    <s v="Caixinha"/>
    <s v="3.5 IMPERMEABILIZAÇAO INTERNA"/>
    <s v=" Mao de obra Impermeabilização de áreas úmidas"/>
    <s v="Conta a Pagar"/>
    <s v="N/D"/>
    <s v="N/D"/>
    <s v="Outros"/>
    <x v="4"/>
  </r>
  <r>
    <m/>
    <m/>
    <d v="2026-06-05T00:00:00"/>
    <d v="2026-06-05T00:00:00"/>
    <x v="25"/>
    <x v="21"/>
    <x v="1"/>
    <x v="6"/>
    <n v="-1440"/>
    <n v="0"/>
    <n v="-2867.2000000000003"/>
    <s v="Caixinha"/>
    <s v="3.5 IMPERMEABILIZAÇAO INTERNA"/>
    <s v=" Membrana líquida de poliuretano bicomponente 15Kg flexivel"/>
    <s v="Conta a Pagar"/>
    <s v="N/D"/>
    <s v="N/D"/>
    <s v="Outros"/>
    <x v="4"/>
  </r>
  <r>
    <m/>
    <m/>
    <d v="2026-06-19T00:00:00"/>
    <d v="2026-06-19T00:00:00"/>
    <x v="31"/>
    <x v="5"/>
    <x v="1"/>
    <x v="7"/>
    <n v="-8907.36"/>
    <n v="0"/>
    <n v="-8907.36"/>
    <s v="Caixinha"/>
    <s v="3.5 IMPERMEABILIZAÇAO INTERNA"/>
    <s v=" Mao de obra Impermeabilização de áreas úmidas"/>
    <s v="Conta a Pagar"/>
    <s v="N/D"/>
    <s v="N/D"/>
    <s v="Outros"/>
    <x v="4"/>
  </r>
  <r>
    <m/>
    <m/>
    <d v="2026-05-08T00:00:00"/>
    <d v="2026-05-08T00:00:00"/>
    <x v="64"/>
    <x v="5"/>
    <x v="1"/>
    <x v="11"/>
    <n v="-1923.15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5-08T00:00:00"/>
    <d v="2026-05-08T00:00:00"/>
    <x v="64"/>
    <x v="5"/>
    <x v="1"/>
    <x v="11"/>
    <n v="-293.76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5-08T00:00:00"/>
    <d v="2026-05-08T00:00:00"/>
    <x v="64"/>
    <x v="5"/>
    <x v="1"/>
    <x v="11"/>
    <n v="-179.74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5-08T00:00:00"/>
    <d v="2026-05-08T00:00:00"/>
    <x v="64"/>
    <x v="5"/>
    <x v="1"/>
    <x v="11"/>
    <n v="-97.27"/>
    <n v="0"/>
    <n v="-104"/>
    <s v="Caixinha"/>
    <s v="3.6 BARRILETE E RESERV."/>
    <s v=" Cola Pincel 175 g"/>
    <s v="Conta a Pagar"/>
    <s v="N/D"/>
    <s v="N/D"/>
    <s v="Outros"/>
    <x v="4"/>
  </r>
  <r>
    <m/>
    <m/>
    <d v="2026-05-08T00:00:00"/>
    <d v="2026-05-08T00:00:00"/>
    <x v="64"/>
    <x v="5"/>
    <x v="1"/>
    <x v="11"/>
    <n v="-115.7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5-08T00:00:00"/>
    <d v="2026-05-08T00:00:00"/>
    <x v="64"/>
    <x v="5"/>
    <x v="1"/>
    <x v="11"/>
    <n v="-34.82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5-08T00:00:00"/>
    <d v="2026-05-08T00:00:00"/>
    <x v="64"/>
    <x v="5"/>
    <x v="1"/>
    <x v="11"/>
    <n v="-500.48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5-08T00:00:00"/>
    <d v="2026-05-08T00:00:00"/>
    <x v="64"/>
    <x v="5"/>
    <x v="1"/>
    <x v="11"/>
    <n v="-652.79999999999995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4-24T00:00:00"/>
    <d v="2026-04-24T00:00:00"/>
    <x v="28"/>
    <x v="5"/>
    <x v="1"/>
    <x v="7"/>
    <n v="-4797.4399999999996"/>
    <n v="0"/>
    <n v="-4797.4399999999996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64"/>
    <x v="5"/>
    <x v="1"/>
    <x v="11"/>
    <n v="-572.07000000000005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5-08T00:00:00"/>
    <d v="2026-05-08T00:00:00"/>
    <x v="64"/>
    <x v="5"/>
    <x v="1"/>
    <x v="11"/>
    <n v="-1640.7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5-08T00:00:00"/>
    <d v="2026-05-08T00:00:00"/>
    <x v="27"/>
    <x v="5"/>
    <x v="1"/>
    <x v="7"/>
    <n v="-4802.5600000000004"/>
    <n v="0"/>
    <n v="-4802.5600000000004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64"/>
    <x v="5"/>
    <x v="1"/>
    <x v="11"/>
    <n v="-5220.22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5-08T00:00:00"/>
    <d v="2026-05-08T00:00:00"/>
    <x v="64"/>
    <x v="5"/>
    <x v="1"/>
    <x v="11"/>
    <n v="-71.1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5-08T00:00:00"/>
    <d v="2026-05-08T00:00:00"/>
    <x v="64"/>
    <x v="5"/>
    <x v="1"/>
    <x v="11"/>
    <n v="-139.26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5-08T00:00:00"/>
    <d v="2026-05-08T00:00:00"/>
    <x v="64"/>
    <x v="5"/>
    <x v="1"/>
    <x v="11"/>
    <n v="-104.45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5-08T00:00:00"/>
    <d v="2026-05-08T00:00:00"/>
    <x v="64"/>
    <x v="5"/>
    <x v="1"/>
    <x v="11"/>
    <n v="-879.19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633.6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6-05T00:00:00"/>
    <d v="2026-06-05T00:00:00"/>
    <x v="9"/>
    <x v="5"/>
    <x v="1"/>
    <x v="11"/>
    <n v="-135.16999999999999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6-05T00:00:00"/>
    <d v="2026-06-05T00:00:00"/>
    <x v="9"/>
    <x v="5"/>
    <x v="1"/>
    <x v="11"/>
    <n v="-5066.6899999999996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6-05T00:00:00"/>
    <d v="2026-06-05T00:00:00"/>
    <x v="9"/>
    <x v="5"/>
    <x v="1"/>
    <x v="11"/>
    <n v="-1866.59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33.79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6-05T00:00:00"/>
    <d v="2026-06-05T00:00:00"/>
    <x v="29"/>
    <x v="5"/>
    <x v="1"/>
    <x v="7"/>
    <n v="-11392"/>
    <n v="0"/>
    <n v="-11392"/>
    <s v="Caixinha"/>
    <s v="3.6 BARRILETE E RESERV."/>
    <s v=" Mao de obra instalaçao Caixa de agua e barrilete"/>
    <s v="Conta a Pagar"/>
    <s v="N/D"/>
    <s v="N/D"/>
    <s v="Outros"/>
    <x v="4"/>
  </r>
  <r>
    <m/>
    <m/>
    <d v="2026-06-05T00:00:00"/>
    <d v="2026-06-05T00:00:00"/>
    <x v="9"/>
    <x v="5"/>
    <x v="1"/>
    <x v="11"/>
    <n v="-485.76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6-05T00:00:00"/>
    <d v="2026-06-05T00:00:00"/>
    <x v="9"/>
    <x v="5"/>
    <x v="1"/>
    <x v="11"/>
    <n v="-112.3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6-05T00:00:00"/>
    <d v="2026-06-05T00:00:00"/>
    <x v="9"/>
    <x v="5"/>
    <x v="1"/>
    <x v="11"/>
    <n v="-285.12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6-05T00:00:00"/>
    <d v="2026-06-05T00:00:00"/>
    <x v="9"/>
    <x v="5"/>
    <x v="1"/>
    <x v="11"/>
    <n v="-174.45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6-05T00:00:00"/>
    <d v="2026-06-05T00:00:00"/>
    <x v="9"/>
    <x v="5"/>
    <x v="1"/>
    <x v="11"/>
    <n v="-853.33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555.24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6-05T00:00:00"/>
    <d v="2026-06-05T00:00:00"/>
    <x v="9"/>
    <x v="5"/>
    <x v="1"/>
    <x v="11"/>
    <n v="-94.41"/>
    <n v="0"/>
    <n v="-104"/>
    <s v="Caixinha"/>
    <s v="3.6 BARRILETE E RESERV."/>
    <s v=" Cola Pincel 175 g"/>
    <s v="Conta a Pagar"/>
    <s v="N/D"/>
    <s v="N/D"/>
    <s v="Outros"/>
    <x v="4"/>
  </r>
  <r>
    <m/>
    <m/>
    <d v="2026-05-22T00:00:00"/>
    <d v="2026-05-22T00:00:00"/>
    <x v="30"/>
    <x v="5"/>
    <x v="1"/>
    <x v="7"/>
    <n v="-17251.84"/>
    <n v="0"/>
    <n v="-17251.84"/>
    <s v="Caixinha"/>
    <s v="3.6 BARRILETE E RESERV."/>
    <s v=" Mao de obra instalaçao Caixa de agua e barrilete"/>
    <s v="Conta a Pagar"/>
    <s v="N/D"/>
    <s v="N/D"/>
    <s v="Outros"/>
    <x v="4"/>
  </r>
  <r>
    <m/>
    <m/>
    <d v="2026-06-05T00:00:00"/>
    <d v="2026-06-05T00:00:00"/>
    <x v="9"/>
    <x v="5"/>
    <x v="1"/>
    <x v="11"/>
    <n v="-69.0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6-05T00:00:00"/>
    <d v="2026-06-05T00:00:00"/>
    <x v="9"/>
    <x v="5"/>
    <x v="1"/>
    <x v="11"/>
    <n v="-101.38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6-05T00:00:00"/>
    <d v="2026-06-05T00:00:00"/>
    <x v="9"/>
    <x v="5"/>
    <x v="1"/>
    <x v="11"/>
    <n v="-1592.45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7-03T00:00:00"/>
    <d v="2026-07-03T00:00:00"/>
    <x v="66"/>
    <x v="5"/>
    <x v="1"/>
    <x v="11"/>
    <n v="-174.45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7-03T00:00:00"/>
    <d v="2026-07-03T00:00:00"/>
    <x v="66"/>
    <x v="5"/>
    <x v="1"/>
    <x v="11"/>
    <n v="-112.3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7-03T00:00:00"/>
    <d v="2026-07-03T00:00:00"/>
    <x v="66"/>
    <x v="5"/>
    <x v="1"/>
    <x v="11"/>
    <n v="-555.24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7-03T00:00:00"/>
    <d v="2026-07-03T00:00:00"/>
    <x v="66"/>
    <x v="5"/>
    <x v="1"/>
    <x v="11"/>
    <n v="-1866.59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7-03T00:00:00"/>
    <d v="2026-07-03T00:00:00"/>
    <x v="66"/>
    <x v="5"/>
    <x v="1"/>
    <x v="11"/>
    <n v="-853.33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7-03T00:00:00"/>
    <d v="2026-07-03T00:00:00"/>
    <x v="66"/>
    <x v="5"/>
    <x v="1"/>
    <x v="11"/>
    <n v="-69.0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7-03T00:00:00"/>
    <d v="2026-07-03T00:00:00"/>
    <x v="66"/>
    <x v="5"/>
    <x v="1"/>
    <x v="11"/>
    <n v="-94.41"/>
    <n v="0"/>
    <n v="-104"/>
    <s v="Caixinha"/>
    <s v="3.6 BARRILETE E RESERV."/>
    <s v=" Cola Pincel 175 g"/>
    <s v="Conta a Pagar"/>
    <s v="N/D"/>
    <s v="N/D"/>
    <s v="Outros"/>
    <x v="4"/>
  </r>
  <r>
    <m/>
    <m/>
    <d v="2026-07-03T00:00:00"/>
    <d v="2026-07-03T00:00:00"/>
    <x v="66"/>
    <x v="5"/>
    <x v="1"/>
    <x v="11"/>
    <n v="-5066.6899999999996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7-03T00:00:00"/>
    <d v="2026-07-03T00:00:00"/>
    <x v="66"/>
    <x v="5"/>
    <x v="1"/>
    <x v="11"/>
    <n v="-135.16999999999999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7-03T00:00:00"/>
    <d v="2026-07-03T00:00:00"/>
    <x v="66"/>
    <x v="5"/>
    <x v="1"/>
    <x v="11"/>
    <n v="-633.6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7-03T00:00:00"/>
    <d v="2026-07-03T00:00:00"/>
    <x v="66"/>
    <x v="5"/>
    <x v="1"/>
    <x v="11"/>
    <n v="-101.38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7-03T00:00:00"/>
    <d v="2026-07-03T00:00:00"/>
    <x v="66"/>
    <x v="5"/>
    <x v="1"/>
    <x v="11"/>
    <n v="-285.12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7-03T00:00:00"/>
    <d v="2026-07-03T00:00:00"/>
    <x v="66"/>
    <x v="5"/>
    <x v="1"/>
    <x v="11"/>
    <n v="-485.76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7-03T00:00:00"/>
    <d v="2026-07-03T00:00:00"/>
    <x v="66"/>
    <x v="5"/>
    <x v="1"/>
    <x v="11"/>
    <n v="-33.79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7-03T00:00:00"/>
    <d v="2026-07-03T00:00:00"/>
    <x v="66"/>
    <x v="5"/>
    <x v="1"/>
    <x v="11"/>
    <n v="-1592.45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6-19T00:00:00"/>
    <d v="2026-06-19T00:00:00"/>
    <x v="31"/>
    <x v="5"/>
    <x v="1"/>
    <x v="7"/>
    <n v="-12956.16"/>
    <n v="0"/>
    <n v="-12956.16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27"/>
    <x v="5"/>
    <x v="1"/>
    <x v="7"/>
    <n v="-6003.2"/>
    <n v="0"/>
    <n v="-6003.2"/>
    <s v="Caixinha"/>
    <s v="3.7 CAIXAS DE INSPEÇÃO E GORDURA"/>
    <s v="mao de obra Terceirizada Caixas de inspecao e gordura"/>
    <s v="Conta a Pagar"/>
    <s v="N/D"/>
    <s v="N/D"/>
    <s v="Outros"/>
    <x v="4"/>
  </r>
  <r>
    <m/>
    <m/>
    <d v="2026-04-24T00:00:00"/>
    <d v="2026-04-24T00:00:00"/>
    <x v="28"/>
    <x v="5"/>
    <x v="1"/>
    <x v="7"/>
    <n v="-5996.8"/>
    <n v="0"/>
    <n v="-5996.8"/>
    <s v="Caixinha"/>
    <s v="3.7 CAIXAS DE INSPEÇÃO E GORDURA"/>
    <s v="mao de obra Terceirizada Caixas de inspecao e gordura"/>
    <s v="Conta a Pagar"/>
    <s v="N/D"/>
    <s v="N/D"/>
    <s v="Outros"/>
    <x v="4"/>
  </r>
  <r>
    <m/>
    <m/>
    <d v="2026-05-22T00:00:00"/>
    <d v="2026-05-22T00:00:00"/>
    <x v="55"/>
    <x v="5"/>
    <x v="1"/>
    <x v="11"/>
    <n v="-222.47"/>
    <n v="0"/>
    <n v="-222.47"/>
    <s v="Caixinha"/>
    <s v="3.7 CAIXAS DE INSPEÇÃO E GORDURA"/>
    <s v=" Tubo pvc 50mm - Rede de Esgoto"/>
    <s v="Conta a Pagar"/>
    <s v="N/D"/>
    <s v="N/D"/>
    <s v="Outros"/>
    <x v="4"/>
  </r>
  <r>
    <m/>
    <m/>
    <d v="2026-05-22T00:00:00"/>
    <d v="2026-05-22T00:00:00"/>
    <x v="55"/>
    <x v="5"/>
    <x v="1"/>
    <x v="11"/>
    <n v="-210.92"/>
    <n v="0"/>
    <n v="-210.92"/>
    <s v="Caixinha"/>
    <s v="3.7 CAIXAS DE INSPEÇÃO E GORDURA"/>
    <s v=" Tubo pvc 40mm - Rede de Esgoto"/>
    <s v="Conta a Pagar"/>
    <s v="N/D"/>
    <s v="N/D"/>
    <s v="Outros"/>
    <x v="4"/>
  </r>
  <r>
    <m/>
    <m/>
    <d v="2026-05-22T00:00:00"/>
    <d v="2026-05-22T00:00:00"/>
    <x v="30"/>
    <x v="5"/>
    <x v="1"/>
    <x v="7"/>
    <n v="-21564.799999999999"/>
    <n v="0"/>
    <n v="-21564.799999999999"/>
    <s v="Caixinha"/>
    <s v="3.7 CAIXAS DE INSPEÇÃO E GORDURA"/>
    <s v="mao de obra Terceirizada Caixas de inspecao e gordura"/>
    <s v="Conta a Pagar"/>
    <s v="N/D"/>
    <s v="N/D"/>
    <s v="Outros"/>
    <x v="4"/>
  </r>
  <r>
    <m/>
    <m/>
    <d v="2026-05-22T00:00:00"/>
    <d v="2026-05-22T00:00:00"/>
    <x v="55"/>
    <x v="5"/>
    <x v="1"/>
    <x v="16"/>
    <n v="-448.45"/>
    <n v="0"/>
    <n v="-448.45"/>
    <s v="Caixinha"/>
    <s v="3.7 CAIXAS DE INSPEÇÃO E GORDURA"/>
    <s v=" Areia grossa"/>
    <s v="Conta a Pagar"/>
    <s v="N/D"/>
    <s v="N/D"/>
    <s v="Outros"/>
    <x v="4"/>
  </r>
  <r>
    <m/>
    <m/>
    <d v="2026-05-22T00:00:00"/>
    <d v="2026-05-22T00:00:00"/>
    <x v="55"/>
    <x v="5"/>
    <x v="1"/>
    <x v="16"/>
    <n v="-718.08"/>
    <n v="0"/>
    <n v="-718.08"/>
    <s v="Caixinha"/>
    <s v="3.7 CAIXAS DE INSPEÇÃO E GORDURA"/>
    <s v=" lastro de brita 01 - 10cm"/>
    <s v="Conta a Pagar"/>
    <s v="N/D"/>
    <s v="N/D"/>
    <s v="Outros"/>
    <x v="4"/>
  </r>
  <r>
    <m/>
    <m/>
    <d v="2026-05-22T00:00:00"/>
    <d v="2026-05-22T00:00:00"/>
    <x v="67"/>
    <x v="5"/>
    <x v="1"/>
    <x v="22"/>
    <n v="-30720"/>
    <n v="0"/>
    <n v="-5836.8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68"/>
    <x v="5"/>
    <x v="1"/>
    <x v="22"/>
    <n v="-30720"/>
    <n v="0"/>
    <n v="-5836.8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54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58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69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70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55"/>
    <x v="5"/>
    <x v="1"/>
    <x v="11"/>
    <n v="-4393.78"/>
    <n v="0"/>
    <n v="-4393.78"/>
    <s v="Caixinha"/>
    <s v="3.7 CAIXAS DE INSPEÇÃO E GORDURA"/>
    <s v=" Tubo pvc 100mm - Rede de Esgoto"/>
    <s v="Conta a Pagar"/>
    <s v="N/D"/>
    <s v="N/D"/>
    <s v="Outros"/>
    <x v="4"/>
  </r>
  <r>
    <m/>
    <m/>
    <d v="2026-05-22T00:00:00"/>
    <d v="2026-05-22T00:00:00"/>
    <x v="67"/>
    <x v="5"/>
    <x v="1"/>
    <x v="22"/>
    <n v="-5760"/>
    <n v="0"/>
    <n v="-2188.8000000000002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68"/>
    <x v="5"/>
    <x v="1"/>
    <x v="22"/>
    <n v="-5760"/>
    <n v="0"/>
    <n v="-2188.8000000000002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54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58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69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70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6-05T00:00:00"/>
    <d v="2026-06-05T00:00:00"/>
    <x v="29"/>
    <x v="5"/>
    <x v="1"/>
    <x v="7"/>
    <n v="-14240"/>
    <n v="0"/>
    <n v="-14240"/>
    <s v="Caixinha"/>
    <s v="3.7 CAIXAS DE INSPEÇÃO E GORDURA"/>
    <s v="mao de obra Terceirizada Caixas de inspecao e gordura"/>
    <s v="Conta a Pagar"/>
    <s v="N/D"/>
    <s v="N/D"/>
    <s v="Outros"/>
    <x v="4"/>
  </r>
  <r>
    <m/>
    <m/>
    <d v="2026-07-17T00:00:00"/>
    <d v="2026-07-17T00:00:00"/>
    <x v="12"/>
    <x v="5"/>
    <x v="1"/>
    <x v="11"/>
    <n v="-215.93"/>
    <n v="0"/>
    <n v="-215.93"/>
    <s v="Caixinha"/>
    <s v="3.7 CAIXAS DE INSPEÇÃO E GORDURA"/>
    <s v=" Tubo pvc 50mm - Rede de Esgoto"/>
    <s v="Conta a Pagar"/>
    <s v="N/D"/>
    <s v="N/D"/>
    <s v="Outros"/>
    <x v="4"/>
  </r>
  <r>
    <m/>
    <m/>
    <d v="2026-07-17T00:00:00"/>
    <d v="2026-07-17T00:00:00"/>
    <x v="12"/>
    <x v="5"/>
    <x v="1"/>
    <x v="11"/>
    <n v="-4264.55"/>
    <n v="0"/>
    <n v="-4264.55"/>
    <s v="Caixinha"/>
    <s v="3.7 CAIXAS DE INSPEÇÃO E GORDURA"/>
    <s v=" Tubo pvc 100mm - Rede de Esgoto"/>
    <s v="Conta a Pagar"/>
    <s v="N/D"/>
    <s v="N/D"/>
    <s v="Outros"/>
    <x v="4"/>
  </r>
  <r>
    <m/>
    <m/>
    <d v="2026-07-17T00:00:00"/>
    <d v="2026-07-17T00:00:00"/>
    <x v="12"/>
    <x v="5"/>
    <x v="1"/>
    <x v="11"/>
    <n v="-204.72"/>
    <n v="0"/>
    <n v="-204.72"/>
    <s v="Caixinha"/>
    <s v="3.7 CAIXAS DE INSPEÇÃO E GORDURA"/>
    <s v=" Tubo pvc 40mm - Rede de Esgoto"/>
    <s v="Conta a Pagar"/>
    <s v="N/D"/>
    <s v="N/D"/>
    <s v="Outros"/>
    <x v="4"/>
  </r>
  <r>
    <m/>
    <m/>
    <d v="2026-06-19T00:00:00"/>
    <d v="2026-06-19T00:00:00"/>
    <x v="40"/>
    <x v="5"/>
    <x v="1"/>
    <x v="11"/>
    <n v="-4264.55"/>
    <n v="0"/>
    <n v="-4264.55"/>
    <s v="Caixinha"/>
    <s v="3.7 CAIXAS DE INSPEÇÃO E GORDURA"/>
    <s v=" Tubo pvc 100mm - Rede de Esgoto"/>
    <s v="Conta a Pagar"/>
    <s v="N/D"/>
    <s v="N/D"/>
    <s v="Outros"/>
    <x v="4"/>
  </r>
  <r>
    <m/>
    <m/>
    <d v="2026-06-19T00:00:00"/>
    <d v="2026-06-19T00:00:00"/>
    <x v="40"/>
    <x v="5"/>
    <x v="1"/>
    <x v="11"/>
    <n v="-204.72"/>
    <n v="0"/>
    <n v="-204.72"/>
    <s v="Caixinha"/>
    <s v="3.7 CAIXAS DE INSPEÇÃO E GORDURA"/>
    <s v=" Tubo pvc 40mm - Rede de Esgoto"/>
    <s v="Conta a Pagar"/>
    <s v="N/D"/>
    <s v="N/D"/>
    <s v="Outros"/>
    <x v="4"/>
  </r>
  <r>
    <m/>
    <m/>
    <d v="2026-06-19T00:00:00"/>
    <d v="2026-06-19T00:00:00"/>
    <x v="40"/>
    <x v="5"/>
    <x v="1"/>
    <x v="11"/>
    <n v="-215.93"/>
    <n v="0"/>
    <n v="-215.93"/>
    <s v="Caixinha"/>
    <s v="3.7 CAIXAS DE INSPEÇÃO E GORDURA"/>
    <s v=" Tubo pvc 50mm - Rede de Esgoto"/>
    <s v="Conta a Pagar"/>
    <s v="N/D"/>
    <s v="N/D"/>
    <s v="Outros"/>
    <x v="4"/>
  </r>
  <r>
    <m/>
    <m/>
    <d v="2026-06-19T00:00:00"/>
    <d v="2026-06-19T00:00:00"/>
    <x v="31"/>
    <x v="5"/>
    <x v="1"/>
    <x v="7"/>
    <n v="-16195.2"/>
    <n v="0"/>
    <n v="-16195.2"/>
    <s v="Caixinha"/>
    <s v="3.7 CAIXAS DE INSPEÇÃO E GORDURA"/>
    <s v="mao de obra Terceirizada Caixas de inspecao e gordura"/>
    <s v="Conta a Pagar"/>
    <s v="N/D"/>
    <s v="N/D"/>
    <s v="Outros"/>
    <x v="4"/>
  </r>
  <r>
    <m/>
    <m/>
    <d v="2026-05-08T00:00:00"/>
    <d v="2026-05-08T00:00:00"/>
    <x v="67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0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29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71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29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1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69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1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4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27"/>
    <x v="5"/>
    <x v="1"/>
    <x v="28"/>
    <n v="-38016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5-08T00:00:00"/>
    <d v="2026-05-08T00:00:00"/>
    <x v="1"/>
    <x v="5"/>
    <x v="1"/>
    <x v="25"/>
    <n v="-79360"/>
    <n v="0"/>
    <n v="-2856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30"/>
    <x v="5"/>
    <x v="1"/>
    <x v="25"/>
    <n v="-79360"/>
    <n v="0"/>
    <n v="-5304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51"/>
    <x v="5"/>
    <x v="1"/>
    <x v="25"/>
    <n v="-79360"/>
    <n v="0"/>
    <n v="-238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29"/>
    <x v="5"/>
    <x v="1"/>
    <x v="25"/>
    <n v="-79360"/>
    <n v="0"/>
    <n v="-442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72"/>
    <x v="5"/>
    <x v="1"/>
    <x v="25"/>
    <n v="-79360"/>
    <n v="0"/>
    <n v="-238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31"/>
    <x v="5"/>
    <x v="1"/>
    <x v="25"/>
    <n v="-79360"/>
    <n v="0"/>
    <n v="-442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27"/>
    <x v="5"/>
    <x v="1"/>
    <x v="7"/>
    <n v="-9004.7999999999993"/>
    <n v="0"/>
    <n v="-9004.7999999999993"/>
    <s v="Caixinha"/>
    <s v="3.8 COBERTURA"/>
    <s v=" Mao de obra terceirizada montagem e telhamento"/>
    <s v="Conta a Pagar"/>
    <s v="N/D"/>
    <s v="N/D"/>
    <s v="Outros"/>
    <x v="4"/>
  </r>
  <r>
    <m/>
    <m/>
    <d v="2026-05-08T00:00:00"/>
    <d v="2026-05-08T00:00:00"/>
    <x v="30"/>
    <x v="5"/>
    <x v="1"/>
    <x v="28"/>
    <n v="-6892.8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4-24T00:00:00"/>
    <d v="2026-04-24T00:00:00"/>
    <x v="28"/>
    <x v="5"/>
    <x v="1"/>
    <x v="7"/>
    <n v="-8995.2000000000007"/>
    <n v="0"/>
    <n v="-8995.2000000000007"/>
    <s v="Caixinha"/>
    <s v="3.8 COBERTURA"/>
    <s v=" Mao de obra terceirizada montagem e telhamento"/>
    <s v="Conta a Pagar"/>
    <s v="N/D"/>
    <s v="N/D"/>
    <s v="Outros"/>
    <x v="4"/>
  </r>
  <r>
    <m/>
    <m/>
    <d v="2026-05-22T00:00:00"/>
    <d v="2026-05-22T00:00:00"/>
    <x v="30"/>
    <x v="5"/>
    <x v="1"/>
    <x v="7"/>
    <n v="-32347.200000000001"/>
    <n v="0"/>
    <n v="-32347.200000000001"/>
    <s v="Caixinha"/>
    <s v="3.8 COBERTURA"/>
    <s v=" Mao de obra terceirizada montagem e telhamento"/>
    <s v="Conta a Pagar"/>
    <s v="N/D"/>
    <s v="N/D"/>
    <s v="Outros"/>
    <x v="4"/>
  </r>
  <r>
    <m/>
    <m/>
    <d v="2026-06-05T00:00:00"/>
    <d v="2026-06-05T00:00:00"/>
    <x v="29"/>
    <x v="5"/>
    <x v="1"/>
    <x v="7"/>
    <n v="-21360"/>
    <n v="0"/>
    <n v="-21360"/>
    <s v="Caixinha"/>
    <s v="3.8 COBERTURA"/>
    <s v=" Mao de obra terceirizada montagem e telhamento"/>
    <s v="Conta a Pagar"/>
    <s v="N/D"/>
    <s v="N/D"/>
    <s v="Outros"/>
    <x v="4"/>
  </r>
  <r>
    <m/>
    <m/>
    <d v="2026-06-05T00:00:00"/>
    <d v="2026-06-05T00:00:00"/>
    <x v="73"/>
    <x v="5"/>
    <x v="1"/>
    <x v="28"/>
    <n v="-6892.8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0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29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1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1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6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9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19T00:00:00"/>
    <d v="2026-06-19T00:00:00"/>
    <x v="31"/>
    <x v="5"/>
    <x v="1"/>
    <x v="7"/>
    <n v="-24292.799999999999"/>
    <n v="0"/>
    <n v="-24292.799999999999"/>
    <s v="Caixinha"/>
    <s v="3.8 COBERTURA"/>
    <s v=" Mao de obra terceirizada montagem e telhamento"/>
    <s v="Conta a Pagar"/>
    <s v="N/D"/>
    <s v="N/D"/>
    <s v="Outros"/>
    <x v="4"/>
  </r>
  <r>
    <m/>
    <m/>
    <d v="2026-04-24T00:00:00"/>
    <d v="2026-04-24T00:00:00"/>
    <x v="28"/>
    <x v="5"/>
    <x v="1"/>
    <x v="7"/>
    <n v="-10554.45"/>
    <n v="0"/>
    <n v="-10554.45"/>
    <s v="Caixinha"/>
    <s v="3.9  AZULEJOS"/>
    <s v=" Mao de obra terceirizada assentamento Azulejo"/>
    <s v="Conta a Pagar"/>
    <s v="N/D"/>
    <s v="N/D"/>
    <s v="Outros"/>
    <x v="4"/>
  </r>
  <r>
    <m/>
    <m/>
    <d v="2026-05-08T00:00:00"/>
    <d v="2026-05-08T00:00:00"/>
    <x v="4"/>
    <x v="5"/>
    <x v="1"/>
    <x v="6"/>
    <n v="-134.4"/>
    <n v="0"/>
    <n v="-134.4"/>
    <s v="Caixinha"/>
    <s v="3.9  AZULEJOS"/>
    <s v=" Espaçador cruzeta - 5mm (pacote com 100 unid)"/>
    <s v="Conta a Pagar"/>
    <s v="N/D"/>
    <s v="N/D"/>
    <s v="Outros"/>
    <x v="4"/>
  </r>
  <r>
    <m/>
    <m/>
    <d v="2026-05-08T00:00:00"/>
    <d v="2026-05-08T00:00:00"/>
    <x v="27"/>
    <x v="5"/>
    <x v="1"/>
    <x v="7"/>
    <n v="-10565.71"/>
    <n v="0"/>
    <n v="-10565.71"/>
    <s v="Caixinha"/>
    <s v="3.9  AZULEJOS"/>
    <s v=" Mao de obra terceirizada assentamento Azulejo"/>
    <s v="Conta a Pagar"/>
    <s v="N/D"/>
    <s v="N/D"/>
    <s v="Outros"/>
    <x v="4"/>
  </r>
  <r>
    <m/>
    <m/>
    <d v="2026-05-08T00:00:00"/>
    <d v="2026-05-08T00:00:00"/>
    <x v="4"/>
    <x v="5"/>
    <x v="1"/>
    <x v="6"/>
    <n v="-4345.6000000000004"/>
    <n v="0"/>
    <n v="-4345.6000000000004"/>
    <s v="Caixinha"/>
    <s v="3.9  AZULEJOS"/>
    <s v=" Argamassa colante AC I - Saco 20 Kg"/>
    <s v="Conta a Pagar"/>
    <s v="N/D"/>
    <s v="N/D"/>
    <s v="Outros"/>
    <x v="4"/>
  </r>
  <r>
    <m/>
    <m/>
    <d v="2026-05-08T00:00:00"/>
    <d v="2026-05-08T00:00:00"/>
    <x v="4"/>
    <x v="5"/>
    <x v="1"/>
    <x v="5"/>
    <n v="-8072.42"/>
    <n v="0"/>
    <n v="-8072.42"/>
    <s v="Caixinha"/>
    <s v="3.9  AZULEJOS"/>
    <s v=" Revestimento Cerâmico PEI II - 20 X 20, cor,  (perda 10%)"/>
    <s v="Conta a Pagar"/>
    <s v="N/D"/>
    <s v="N/D"/>
    <s v="Outros"/>
    <x v="4"/>
  </r>
  <r>
    <m/>
    <m/>
    <d v="2026-05-08T00:00:00"/>
    <d v="2026-05-08T00:00:00"/>
    <x v="4"/>
    <x v="5"/>
    <x v="1"/>
    <x v="6"/>
    <n v="-1104"/>
    <n v="0"/>
    <n v="-1104"/>
    <s v="Caixinha"/>
    <s v="3.9  AZULEJOS"/>
    <s v=" Rejunte cimenticio"/>
    <s v="Conta a Pagar"/>
    <s v="N/D"/>
    <s v="N/D"/>
    <s v="Outros"/>
    <x v="4"/>
  </r>
  <r>
    <m/>
    <m/>
    <d v="2026-06-05T00:00:00"/>
    <d v="2026-06-05T00:00:00"/>
    <x v="29"/>
    <x v="5"/>
    <x v="1"/>
    <x v="7"/>
    <n v="-25062.59"/>
    <n v="0"/>
    <n v="-25062.59"/>
    <s v="Caixinha"/>
    <s v="3.9  AZULEJOS"/>
    <s v=" Mao de obra terceirizada assentamento Azulejo"/>
    <s v="Conta a Pagar"/>
    <s v="N/D"/>
    <s v="N/D"/>
    <s v="Outros"/>
    <x v="4"/>
  </r>
  <r>
    <m/>
    <m/>
    <d v="2026-06-05T00:00:00"/>
    <d v="2026-06-05T00:00:00"/>
    <x v="25"/>
    <x v="5"/>
    <x v="1"/>
    <x v="6"/>
    <n v="-4345.6000000000004"/>
    <n v="0"/>
    <n v="-4345.6000000000004"/>
    <s v="Caixinha"/>
    <s v="3.9  AZULEJOS"/>
    <s v=" Argamassa colante AC I - Saco 20 Kg"/>
    <s v="Conta a Pagar"/>
    <s v="N/D"/>
    <s v="N/D"/>
    <s v="Outros"/>
    <x v="4"/>
  </r>
  <r>
    <m/>
    <m/>
    <d v="2026-05-22T00:00:00"/>
    <d v="2026-05-22T00:00:00"/>
    <x v="30"/>
    <x v="5"/>
    <x v="1"/>
    <x v="7"/>
    <n v="-37954.33"/>
    <n v="0"/>
    <n v="-37954.33"/>
    <s v="Caixinha"/>
    <s v="3.9  AZULEJOS"/>
    <s v=" Mao de obra terceirizada assentamento Azulejo"/>
    <s v="Conta a Pagar"/>
    <s v="N/D"/>
    <s v="N/D"/>
    <s v="Outros"/>
    <x v="4"/>
  </r>
  <r>
    <m/>
    <m/>
    <d v="2026-06-05T00:00:00"/>
    <d v="2026-06-05T00:00:00"/>
    <x v="25"/>
    <x v="5"/>
    <x v="1"/>
    <x v="5"/>
    <n v="-7834.99"/>
    <n v="0"/>
    <n v="-7834.99"/>
    <s v="Caixinha"/>
    <s v="3.9  AZULEJOS"/>
    <s v=" Revestimento Cerâmico PEI II - 20 X 20, cor,  (perda 10%)"/>
    <s v="Conta a Pagar"/>
    <s v="N/D"/>
    <s v="N/D"/>
    <s v="Outros"/>
    <x v="4"/>
  </r>
  <r>
    <m/>
    <m/>
    <d v="2026-06-05T00:00:00"/>
    <d v="2026-06-05T00:00:00"/>
    <x v="25"/>
    <x v="5"/>
    <x v="1"/>
    <x v="6"/>
    <n v="-134.4"/>
    <n v="0"/>
    <n v="-134.4"/>
    <s v="Caixinha"/>
    <s v="3.9  AZULEJOS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6"/>
    <n v="-1104"/>
    <n v="0"/>
    <n v="-1104"/>
    <s v="Caixinha"/>
    <s v="3.9  AZULEJOS"/>
    <s v=" Rejunte cimenticio"/>
    <s v="Conta a Pagar"/>
    <s v="N/D"/>
    <s v="N/D"/>
    <s v="Outros"/>
    <x v="4"/>
  </r>
  <r>
    <m/>
    <m/>
    <d v="2026-07-03T00:00:00"/>
    <d v="2026-07-03T00:00:00"/>
    <x v="26"/>
    <x v="5"/>
    <x v="1"/>
    <x v="5"/>
    <n v="-7834.99"/>
    <n v="0"/>
    <n v="-7834.99"/>
    <s v="Caixinha"/>
    <s v="3.9  AZULEJOS"/>
    <s v=" Revestimento Cerâmico PEI II - 20 X 20, cor,  (perda 10%)"/>
    <s v="Conta a Pagar"/>
    <s v="N/D"/>
    <s v="N/D"/>
    <s v="Outros"/>
    <x v="4"/>
  </r>
  <r>
    <m/>
    <m/>
    <d v="2026-06-19T00:00:00"/>
    <d v="2026-06-19T00:00:00"/>
    <x v="31"/>
    <x v="5"/>
    <x v="1"/>
    <x v="7"/>
    <n v="-28503.759999999998"/>
    <n v="0"/>
    <n v="-28503.759999999998"/>
    <s v="Caixinha"/>
    <s v="3.9  AZULEJOS"/>
    <s v=" Mao de obra terceirizada assentamento Azulejo"/>
    <s v="Conta a Pagar"/>
    <s v="N/D"/>
    <s v="N/D"/>
    <s v="Outros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1FE9C-B4C7-44AF-A767-78E3A724195B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R57" firstHeaderRow="1" firstDataRow="2" firstDataCol="1"/>
  <pivotFields count="19">
    <pivotField axis="axisCol" numFmtId="14" showAll="0">
      <items count="15">
        <item x="0"/>
        <item x="2"/>
        <item x="3"/>
        <item x="4"/>
        <item x="5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4" showAll="0"/>
    <pivotField numFmtId="14" showAll="0"/>
    <pivotField numFmtId="14" showAll="0"/>
    <pivotField axis="axisRow" showAll="0">
      <items count="25">
        <item x="8"/>
        <item x="10"/>
        <item x="3"/>
        <item x="4"/>
        <item x="0"/>
        <item x="7"/>
        <item x="2"/>
        <item x="5"/>
        <item x="9"/>
        <item x="1"/>
        <item x="6"/>
        <item x="12"/>
        <item x="11"/>
        <item x="13"/>
        <item x="17"/>
        <item x="15"/>
        <item x="16"/>
        <item x="14"/>
        <item x="18"/>
        <item x="20"/>
        <item x="19"/>
        <item x="21"/>
        <item x="22"/>
        <item x="2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22">
        <item sd="0" m="1" x="20"/>
        <item sd="0" x="3"/>
        <item sd="0" x="1"/>
        <item sd="0" x="0"/>
        <item sd="0" x="6"/>
        <item sd="0" x="7"/>
        <item sd="0" x="2"/>
        <item sd="0" x="5"/>
        <item sd="0" x="4"/>
        <item x="8"/>
        <item sd="0" x="9"/>
        <item sd="0" x="13"/>
        <item x="12"/>
        <item x="11"/>
        <item x="10"/>
        <item sd="0" x="14"/>
        <item x="15"/>
        <item x="16"/>
        <item x="17"/>
        <item x="18"/>
        <item x="19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m="1" x="7"/>
        <item x="6"/>
        <item x="5"/>
        <item t="default"/>
      </items>
    </pivotField>
  </pivotFields>
  <rowFields count="4">
    <field x="6"/>
    <field x="18"/>
    <field x="7"/>
    <field x="5"/>
  </rowFields>
  <rowItems count="45">
    <i>
      <x/>
    </i>
    <i r="1">
      <x/>
    </i>
    <i r="2">
      <x v="3"/>
    </i>
    <i r="1">
      <x v="7"/>
    </i>
    <i r="2">
      <x v="11"/>
    </i>
    <i r="2">
      <x v="12"/>
    </i>
    <i r="3">
      <x v="9"/>
    </i>
    <i>
      <x v="1"/>
    </i>
    <i r="1">
      <x v="1"/>
    </i>
    <i r="2">
      <x v="2"/>
    </i>
    <i r="1">
      <x v="2"/>
    </i>
    <i r="2">
      <x v="1"/>
    </i>
    <i r="2">
      <x v="4"/>
    </i>
    <i r="2">
      <x v="6"/>
    </i>
    <i r="2">
      <x v="7"/>
    </i>
    <i r="2">
      <x v="8"/>
    </i>
    <i r="2">
      <x v="15"/>
    </i>
    <i r="1">
      <x v="3"/>
    </i>
    <i r="2">
      <x v="5"/>
    </i>
    <i r="2">
      <x v="10"/>
    </i>
    <i r="1">
      <x v="4"/>
    </i>
    <i r="2">
      <x v="9"/>
    </i>
    <i r="3">
      <x/>
    </i>
    <i r="1">
      <x v="6"/>
    </i>
    <i r="2">
      <x v="13"/>
    </i>
    <i r="3">
      <x v="8"/>
    </i>
    <i r="3">
      <x v="13"/>
    </i>
    <i r="3">
      <x v="14"/>
    </i>
    <i r="3">
      <x v="21"/>
    </i>
    <i r="2">
      <x v="16"/>
    </i>
    <i r="3">
      <x v="20"/>
    </i>
    <i r="2">
      <x v="17"/>
    </i>
    <i r="3">
      <x v="21"/>
    </i>
    <i r="2">
      <x v="18"/>
    </i>
    <i r="3">
      <x v="22"/>
    </i>
    <i r="2">
      <x v="19"/>
    </i>
    <i r="3">
      <x v="21"/>
    </i>
    <i r="2">
      <x v="20"/>
    </i>
    <i r="3">
      <x v="21"/>
    </i>
    <i r="1">
      <x v="7"/>
    </i>
    <i r="2">
      <x v="12"/>
    </i>
    <i r="3">
      <x v="9"/>
    </i>
    <i r="2">
      <x v="14"/>
    </i>
    <i r="3">
      <x v="11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oma de Pago ou Recebido" fld="9" baseField="6" baseItem="0" numFmtId="164"/>
  </dataFields>
  <pivotTableStyleInfo name="FullBPO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5F845-5E5C-4FD3-BC3E-8FC9EE95B817}" name="Tabela dinâmica1" cacheId="2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11:BZ90" firstHeaderRow="1" firstDataRow="2" firstDataCol="1"/>
  <pivotFields count="19">
    <pivotField numFmtId="14" showAll="0"/>
    <pivotField numFmtId="14" showAll="0"/>
    <pivotField numFmtId="14" showAll="0"/>
    <pivotField numFmtId="14" showAll="0"/>
    <pivotField axis="axisCol" numFmtId="14" showAll="0" sortType="ascending">
      <items count="99">
        <item m="1" x="83"/>
        <item m="1" x="86"/>
        <item x="41"/>
        <item x="0"/>
        <item x="42"/>
        <item m="1" x="85"/>
        <item m="1" x="90"/>
        <item x="44"/>
        <item x="50"/>
        <item x="2"/>
        <item x="43"/>
        <item x="61"/>
        <item m="1" x="87"/>
        <item x="1"/>
        <item x="48"/>
        <item x="49"/>
        <item m="1" x="84"/>
        <item m="1" x="94"/>
        <item m="1" x="97"/>
        <item x="3"/>
        <item m="1" x="92"/>
        <item x="51"/>
        <item x="63"/>
        <item x="52"/>
        <item m="1" x="80"/>
        <item m="1" x="79"/>
        <item x="17"/>
        <item x="28"/>
        <item x="72"/>
        <item x="6"/>
        <item m="1" x="74"/>
        <item m="1" x="75"/>
        <item x="64"/>
        <item x="67"/>
        <item x="4"/>
        <item m="1" x="78"/>
        <item x="53"/>
        <item x="18"/>
        <item x="27"/>
        <item m="1" x="95"/>
        <item m="1" x="96"/>
        <item x="5"/>
        <item x="65"/>
        <item m="1" x="93"/>
        <item x="54"/>
        <item x="71"/>
        <item x="55"/>
        <item m="1" x="81"/>
        <item m="1" x="76"/>
        <item x="19"/>
        <item x="30"/>
        <item x="8"/>
        <item x="45"/>
        <item x="62"/>
        <item x="9"/>
        <item x="69"/>
        <item x="25"/>
        <item x="68"/>
        <item x="73"/>
        <item x="7"/>
        <item x="29"/>
        <item x="56"/>
        <item x="32"/>
        <item x="47"/>
        <item x="60"/>
        <item x="10"/>
        <item x="40"/>
        <item x="58"/>
        <item x="20"/>
        <item x="31"/>
        <item m="1" x="77"/>
        <item m="1" x="82"/>
        <item x="37"/>
        <item x="14"/>
        <item x="46"/>
        <item x="66"/>
        <item x="13"/>
        <item x="26"/>
        <item x="70"/>
        <item x="21"/>
        <item x="34"/>
        <item x="11"/>
        <item m="1" x="91"/>
        <item x="57"/>
        <item x="33"/>
        <item x="12"/>
        <item x="22"/>
        <item x="36"/>
        <item x="38"/>
        <item x="16"/>
        <item x="23"/>
        <item x="24"/>
        <item x="39"/>
        <item x="59"/>
        <item x="35"/>
        <item x="15"/>
        <item m="1" x="88"/>
        <item m="1" x="89"/>
        <item t="default"/>
      </items>
    </pivotField>
    <pivotField axis="axisRow" showAll="0">
      <items count="28">
        <item x="1"/>
        <item x="14"/>
        <item x="4"/>
        <item x="0"/>
        <item x="6"/>
        <item x="12"/>
        <item x="13"/>
        <item m="1" x="24"/>
        <item x="8"/>
        <item x="5"/>
        <item x="9"/>
        <item x="11"/>
        <item m="1" x="25"/>
        <item m="1" x="26"/>
        <item x="7"/>
        <item x="2"/>
        <item x="3"/>
        <item x="10"/>
        <item m="1" x="23"/>
        <item x="20"/>
        <item x="15"/>
        <item x="16"/>
        <item x="17"/>
        <item x="18"/>
        <item x="19"/>
        <item x="21"/>
        <item x="2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axis="axisRow" showAll="0">
      <items count="31">
        <item sd="0" x="1"/>
        <item x="2"/>
        <item sd="0" x="26"/>
        <item x="24"/>
        <item x="0"/>
        <item x="7"/>
        <item x="25"/>
        <item x="9"/>
        <item x="23"/>
        <item x="15"/>
        <item x="11"/>
        <item x="19"/>
        <item x="14"/>
        <item x="18"/>
        <item x="6"/>
        <item x="17"/>
        <item x="16"/>
        <item x="5"/>
        <item x="28"/>
        <item x="3"/>
        <item x="10"/>
        <item x="8"/>
        <item x="22"/>
        <item x="13"/>
        <item x="20"/>
        <item x="21"/>
        <item x="12"/>
        <item sd="0" x="4"/>
        <item x="27"/>
        <item m="1" x="29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sd="0" x="1"/>
        <item x="5"/>
        <item x="2"/>
        <item x="4"/>
        <item sd="0" x="0"/>
        <item sd="0" x="3"/>
        <item sd="0" x="6"/>
        <item sd="0" m="1" x="7"/>
        <item t="default" sd="0"/>
      </items>
    </pivotField>
  </pivotFields>
  <rowFields count="4">
    <field x="6"/>
    <field x="18"/>
    <field x="7"/>
    <field x="5"/>
  </rowFields>
  <rowItems count="78">
    <i>
      <x/>
    </i>
    <i r="1">
      <x/>
    </i>
    <i r="1">
      <x v="4"/>
    </i>
    <i r="1">
      <x v="5"/>
    </i>
    <i>
      <x v="1"/>
    </i>
    <i r="1">
      <x v="1"/>
    </i>
    <i r="2">
      <x v="2"/>
    </i>
    <i r="2">
      <x v="3"/>
    </i>
    <i r="3">
      <x v="1"/>
    </i>
    <i r="3">
      <x v="5"/>
    </i>
    <i r="3">
      <x v="6"/>
    </i>
    <i r="3">
      <x v="9"/>
    </i>
    <i r="1">
      <x v="2"/>
    </i>
    <i r="2">
      <x v="1"/>
    </i>
    <i r="3">
      <x v="2"/>
    </i>
    <i r="3">
      <x v="15"/>
    </i>
    <i r="3">
      <x v="16"/>
    </i>
    <i r="1">
      <x v="3"/>
    </i>
    <i r="2">
      <x v="5"/>
    </i>
    <i r="3">
      <x v="9"/>
    </i>
    <i r="3">
      <x v="14"/>
    </i>
    <i r="3">
      <x v="21"/>
    </i>
    <i r="2">
      <x v="6"/>
    </i>
    <i r="3">
      <x v="9"/>
    </i>
    <i r="3">
      <x v="20"/>
    </i>
    <i r="2">
      <x v="7"/>
    </i>
    <i r="3">
      <x v="2"/>
    </i>
    <i r="3">
      <x v="9"/>
    </i>
    <i r="3">
      <x v="10"/>
    </i>
    <i r="3">
      <x v="11"/>
    </i>
    <i r="3">
      <x v="17"/>
    </i>
    <i r="2">
      <x v="8"/>
    </i>
    <i r="3">
      <x v="9"/>
    </i>
    <i r="2">
      <x v="9"/>
    </i>
    <i r="3">
      <x v="2"/>
    </i>
    <i r="3">
      <x v="9"/>
    </i>
    <i r="3">
      <x v="24"/>
    </i>
    <i r="2">
      <x v="10"/>
    </i>
    <i r="3">
      <x v="9"/>
    </i>
    <i r="2">
      <x v="11"/>
    </i>
    <i r="3">
      <x v="9"/>
    </i>
    <i r="3">
      <x v="23"/>
    </i>
    <i r="2">
      <x v="12"/>
    </i>
    <i r="3">
      <x v="9"/>
    </i>
    <i r="2">
      <x v="13"/>
    </i>
    <i r="3">
      <x v="9"/>
    </i>
    <i r="2">
      <x v="14"/>
    </i>
    <i r="3">
      <x v="9"/>
    </i>
    <i r="3">
      <x v="10"/>
    </i>
    <i r="3">
      <x v="23"/>
    </i>
    <i r="3">
      <x v="25"/>
    </i>
    <i r="3">
      <x v="26"/>
    </i>
    <i r="2">
      <x v="15"/>
    </i>
    <i r="3">
      <x v="9"/>
    </i>
    <i r="3">
      <x v="19"/>
    </i>
    <i r="2">
      <x v="16"/>
    </i>
    <i r="3">
      <x v="8"/>
    </i>
    <i r="3">
      <x v="9"/>
    </i>
    <i r="2">
      <x v="17"/>
    </i>
    <i r="3">
      <x v="9"/>
    </i>
    <i r="2">
      <x v="18"/>
    </i>
    <i r="3">
      <x v="9"/>
    </i>
    <i r="2">
      <x v="20"/>
    </i>
    <i r="3">
      <x v="9"/>
    </i>
    <i r="2">
      <x v="21"/>
    </i>
    <i r="3">
      <x v="9"/>
    </i>
    <i r="2">
      <x v="22"/>
    </i>
    <i r="3">
      <x v="9"/>
    </i>
    <i r="2">
      <x v="23"/>
    </i>
    <i r="3">
      <x v="9"/>
    </i>
    <i r="2">
      <x v="24"/>
    </i>
    <i r="3">
      <x v="9"/>
    </i>
    <i r="2">
      <x v="25"/>
    </i>
    <i r="3">
      <x v="9"/>
    </i>
    <i r="2">
      <x v="26"/>
    </i>
    <i r="3">
      <x v="9"/>
    </i>
    <i r="1">
      <x v="6"/>
    </i>
    <i t="grand">
      <x/>
    </i>
  </rowItems>
  <colFields count="1">
    <field x="4"/>
  </colFields>
  <colItems count="75">
    <i>
      <x v="2"/>
    </i>
    <i>
      <x v="3"/>
    </i>
    <i>
      <x v="4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9"/>
    </i>
    <i>
      <x v="21"/>
    </i>
    <i>
      <x v="22"/>
    </i>
    <i>
      <x v="23"/>
    </i>
    <i>
      <x v="26"/>
    </i>
    <i>
      <x v="27"/>
    </i>
    <i>
      <x v="28"/>
    </i>
    <i>
      <x v="29"/>
    </i>
    <i>
      <x v="32"/>
    </i>
    <i>
      <x v="33"/>
    </i>
    <i>
      <x v="34"/>
    </i>
    <i>
      <x v="36"/>
    </i>
    <i>
      <x v="37"/>
    </i>
    <i>
      <x v="38"/>
    </i>
    <i>
      <x v="41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colItems>
  <dataFields count="1">
    <dataField name="Soma de A Pagar ou Receber" fld="10" baseField="5" baseItem="9" numFmtId="40"/>
  </dataFields>
  <formats count="11">
    <format dxfId="55">
      <pivotArea collapsedLevelsAreSubtotals="1" fieldPosition="0">
        <references count="4">
          <reference field="4" count="1" selected="0">
            <x v="19"/>
          </reference>
          <reference field="6" count="1" selected="0">
            <x v="1"/>
          </reference>
          <reference field="7" count="1">
            <x v="1"/>
          </reference>
          <reference field="18" count="1" selected="0">
            <x v="2"/>
          </reference>
        </references>
      </pivotArea>
    </format>
    <format dxfId="54">
      <pivotArea collapsedLevelsAreSubtotals="1" fieldPosition="0">
        <references count="4">
          <reference field="4" count="1" selected="0">
            <x v="66"/>
          </reference>
          <reference field="6" count="1" selected="0">
            <x v="1"/>
          </reference>
          <reference field="7" count="0"/>
          <reference field="18" count="1" selected="0">
            <x v="2"/>
          </reference>
        </references>
      </pivotArea>
    </format>
    <format dxfId="53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0"/>
          </reference>
          <reference field="18" count="1" selected="0">
            <x v="0"/>
          </reference>
        </references>
      </pivotArea>
    </format>
    <format dxfId="52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27"/>
          </reference>
          <reference field="18" count="1" selected="0">
            <x v="0"/>
          </reference>
        </references>
      </pivotArea>
    </format>
    <format dxfId="51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1"/>
          </reference>
        </references>
      </pivotArea>
    </format>
    <format dxfId="50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3"/>
          </reference>
          <reference field="18" count="1" selected="0">
            <x v="1"/>
          </reference>
        </references>
      </pivotArea>
    </format>
    <format dxfId="49">
      <pivotArea collapsedLevelsAreSubtotals="1" fieldPosition="0">
        <references count="5">
          <reference field="4" count="4" selected="0">
            <x v="1"/>
            <x v="2"/>
            <x v="3"/>
            <x v="4"/>
          </reference>
          <reference field="5" count="1">
            <x v="9"/>
          </reference>
          <reference field="6" count="1" selected="0">
            <x v="0"/>
          </reference>
          <reference field="7" count="1" selected="0">
            <x v="3"/>
          </reference>
          <reference field="18" count="1" selected="0">
            <x v="1"/>
          </reference>
        </references>
      </pivotArea>
    </format>
    <format dxfId="48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4"/>
          </reference>
        </references>
      </pivotArea>
    </format>
    <format dxfId="47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4"/>
          </reference>
          <reference field="18" count="1" selected="0">
            <x v="4"/>
          </reference>
        </references>
      </pivotArea>
    </format>
    <format dxfId="46">
      <pivotArea collapsedLevelsAreSubtotals="1" fieldPosition="0">
        <references count="5">
          <reference field="4" count="4" selected="0">
            <x v="1"/>
            <x v="2"/>
            <x v="3"/>
            <x v="4"/>
          </reference>
          <reference field="5" count="1">
            <x v="3"/>
          </reference>
          <reference field="6" count="1" selected="0">
            <x v="0"/>
          </reference>
          <reference field="7" count="1" selected="0">
            <x v="4"/>
          </reference>
          <reference field="18" count="1" selected="0">
            <x v="4"/>
          </reference>
        </references>
      </pivotArea>
    </format>
    <format dxfId="45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5"/>
          </reference>
        </references>
      </pivotArea>
    </format>
  </formats>
  <pivotTableStyleInfo name="FullBPO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90B0E9-7CC3-43DD-836B-31D0DEF2B6D2}" name="Tabela2" displayName="Tabela2" ref="B2:D138" totalsRowShown="0" headerRowDxfId="44" dataDxfId="42" headerRowBorderDxfId="43" tableBorderDxfId="41">
  <autoFilter ref="B2:D138" xr:uid="{7090B0E9-7CC3-43DD-836B-31D0DEF2B6D2}"/>
  <tableColumns count="3">
    <tableColumn id="1" xr3:uid="{B71DD6BA-B707-4C7B-8213-B1D10E874D4D}" name="Situação" dataDxfId="40"/>
    <tableColumn id="2" xr3:uid="{67C1EBCB-E41E-4261-8E12-92D1DE6579F8}" name="Categoria" dataDxfId="39"/>
    <tableColumn id="3" xr3:uid="{50EC60AC-0162-4EF3-B319-6B0A0474F1D7}" name="Conta Pai" dataDxfId="38">
      <calculatedColumnFormula>IF(Tabela2[[#This Row],[Situação]]&lt;&gt;"Grupo",D2,Tabela2[[#This Row],[Categoria]])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7377B-469B-40C2-9917-8A52E85A699B}" name="Tabela14" displayName="Tabela14" ref="B3:T668" totalsRowShown="0" headerRowDxfId="37">
  <autoFilter ref="B3:T668" xr:uid="{A9C7377B-469B-40C2-9917-8A52E85A699B}"/>
  <tableColumns count="19">
    <tableColumn id="1" xr3:uid="{7BCE0CB5-3104-4EBD-AC27-8FC3D6E2F196}" name="Data de Crédito ou Pagto (completa)" dataDxfId="36"/>
    <tableColumn id="2" xr3:uid="{E5A1FB7C-03AD-40AE-ADA3-A45E5D299499}" name="Data de Pagto ou Recbto (completa)" dataDxfId="35"/>
    <tableColumn id="3" xr3:uid="{2B357862-7230-4410-88D6-01D0DA0BC218}" name="Data de Emissão (completa)" dataDxfId="34"/>
    <tableColumn id="4" xr3:uid="{8138B566-0E59-42CD-B979-93020631EE42}" name="Data de Registro (completa)" dataDxfId="33"/>
    <tableColumn id="5" xr3:uid="{B3CBFEA1-5CAD-420B-AA6E-F404B7FAD022}" name="Data de Previsão (completa)" dataDxfId="32"/>
    <tableColumn id="6" xr3:uid="{7ED1EA08-7EFF-49DB-A28B-96A47E9996A6}" name="Cliente ou Fornecedor (Nome Fantasia)"/>
    <tableColumn id="7" xr3:uid="{25B81675-809C-47EC-91A1-5296E435EF18}" name="Tipo"/>
    <tableColumn id="8" xr3:uid="{3B75B992-EA93-482F-8581-D7195F300012}" name="Categoria"/>
    <tableColumn id="9" xr3:uid="{75CDF865-E366-4403-BFE9-72A0E82EBDB7}" name="Valor da Conta" dataCellStyle="Moeda"/>
    <tableColumn id="10" xr3:uid="{86777253-5CFB-4890-BAD4-64C6B37D323C}" name="Pago ou Recebido" dataCellStyle="Moeda"/>
    <tableColumn id="11" xr3:uid="{5D8D0412-5901-416E-A565-21F87822B67A}" name="A Pagar ou Receber" dataDxfId="31" dataCellStyle="Moeda"/>
    <tableColumn id="12" xr3:uid="{B2BE4A9C-F1C8-49DC-90DE-71206A7936E9}" name="Conta Corrente"/>
    <tableColumn id="13" xr3:uid="{5A757546-083F-40D3-8D88-CE09FF3D1A7E}" name="Departamento"/>
    <tableColumn id="14" xr3:uid="{0A2BDEB2-7519-4FE8-BA5C-974829F2D2EC}" name="Observação da Conta" dataDxfId="30"/>
    <tableColumn id="15" xr3:uid="{2FD35374-2990-4B5B-8024-EA879D04908B}" name="Origem"/>
    <tableColumn id="16" xr3:uid="{96F29263-C4B1-4570-9562-F0C5B8806953}" name="NF/CF"/>
    <tableColumn id="17" xr3:uid="{32FF7EC3-D88F-47C6-B629-94D6857F1465}" name="Número do Documento"/>
    <tableColumn id="18" xr3:uid="{F70B81FF-8846-4393-A0C6-EDF6C1544665}" name="Tipo do Documento"/>
    <tableColumn id="19" xr3:uid="{7854D5F0-7134-4540-955F-DFEC79517F14}" name="Conta Pai" dataDxfId="29">
      <calculatedColumnFormula>_xlfn.XLOOKUP(Tabela14[[#This Row],[Categoria]],CATEGORIAS!$C:$C,CATEGORIAS!$D:$D,"")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FE86F-3258-4AEE-BE40-05FC16EA197D}" name="Tabela1" displayName="Tabela1" ref="B2:T77" totalsRowShown="0">
  <autoFilter ref="B2:T77" xr:uid="{6CDFE86F-3258-4AEE-BE40-05FC16EA197D}"/>
  <tableColumns count="19">
    <tableColumn id="1" xr3:uid="{769DF216-0817-45A5-B81F-17D9D89ADEB2}" name="Data de Crédito ou Pagto (completa)" dataDxfId="28"/>
    <tableColumn id="2" xr3:uid="{469EC57D-477E-4108-9C5E-E939C5962D2D}" name="Data de Pagto ou Recbto (completa)" dataDxfId="27"/>
    <tableColumn id="3" xr3:uid="{C811C57B-F372-459A-A4C2-77BF2E69CF44}" name="Data de Emissão (completa)" dataDxfId="26"/>
    <tableColumn id="4" xr3:uid="{70728EB1-11D8-42EE-A739-C8C1C1B2DF51}" name="Data de Registro (completa)" dataDxfId="25"/>
    <tableColumn id="5" xr3:uid="{7EF104E7-C099-445F-8CD8-FA8A8F294E34}" name="Data de Previsão (completa)" dataDxfId="24"/>
    <tableColumn id="6" xr3:uid="{0BCC4D72-BA63-47F4-A0B0-F0D082316756}" name="Cliente ou Fornecedor (Nome Fantasia)"/>
    <tableColumn id="7" xr3:uid="{32777BE9-CED2-4A1E-B9A2-413B49D86188}" name="Tipo"/>
    <tableColumn id="8" xr3:uid="{1017DEED-BA66-45CB-B182-680FB5B4CEBA}" name="Categoria"/>
    <tableColumn id="9" xr3:uid="{7325B5F1-D5D3-4250-A495-9C80F1238F76}" name="Valor da Conta"/>
    <tableColumn id="10" xr3:uid="{3427515A-7380-4C8C-91EC-F92D7625DD36}" name="Pago ou Recebido"/>
    <tableColumn id="11" xr3:uid="{3BBA3739-8016-4885-94F4-3F81BB8C8972}" name="A Pagar ou Receber"/>
    <tableColumn id="12" xr3:uid="{02A5C43A-65A3-4A36-B39F-AC7774A4D119}" name="Conta Corrente"/>
    <tableColumn id="13" xr3:uid="{F3901E21-39D0-45DE-BA07-0DDD1439AB12}" name="Departamento"/>
    <tableColumn id="14" xr3:uid="{6D847AF3-94B7-4AF2-BCDD-F6418F2F7D2C}" name="Observação da Conta"/>
    <tableColumn id="15" xr3:uid="{2B2512B2-CEF7-4242-AA1A-E572E0F7B6F0}" name="Origem"/>
    <tableColumn id="16" xr3:uid="{D9613F40-7C1C-46E8-A8EB-BD2FEE43E8A4}" name="NF/CF"/>
    <tableColumn id="17" xr3:uid="{D6805153-A941-491F-A15A-B520F11F74A9}" name="Número do Documento"/>
    <tableColumn id="18" xr3:uid="{585451E9-C178-4B27-ACE9-4BBAA62C865A}" name="Tipo do Documento"/>
    <tableColumn id="19" xr3:uid="{C594D9B7-B796-4DED-A222-755C1415383A}" name="Conta Pai" dataDxfId="23">
      <calculatedColumnFormula>_xlfn.XLOOKUP(Tabela1[[#This Row],[Categoria]],CATEGORIAS!$C:$C,CATEGORIAS!$D:$D,"")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8DDC-00F4-43EA-850A-9197B87B2218}">
  <dimension ref="B2:D138"/>
  <sheetViews>
    <sheetView showGridLines="0" topLeftCell="A123" workbookViewId="0">
      <selection activeCell="C137" sqref="C137"/>
    </sheetView>
  </sheetViews>
  <sheetFormatPr defaultRowHeight="15" x14ac:dyDescent="0.25"/>
  <cols>
    <col min="2" max="2" width="13.140625" bestFit="1" customWidth="1"/>
    <col min="3" max="3" width="46.5703125" bestFit="1" customWidth="1"/>
    <col min="4" max="4" width="33" bestFit="1" customWidth="1"/>
  </cols>
  <sheetData>
    <row r="2" spans="2:4" ht="18.75" x14ac:dyDescent="0.25">
      <c r="B2" s="8" t="s">
        <v>64</v>
      </c>
      <c r="C2" s="8" t="s">
        <v>7</v>
      </c>
      <c r="D2" s="8" t="s">
        <v>178</v>
      </c>
    </row>
    <row r="3" spans="2:4" x14ac:dyDescent="0.25">
      <c r="B3" s="7" t="s">
        <v>65</v>
      </c>
      <c r="C3" s="7" t="s">
        <v>165</v>
      </c>
      <c r="D3" s="7" t="str">
        <f>IF(Tabela2[[#This Row],[Situação]]&lt;&gt;"Grupo",D2,Tabela2[[#This Row],[Categoria]])</f>
        <v>1.1 Receitas Diretas</v>
      </c>
    </row>
    <row r="4" spans="2:4" x14ac:dyDescent="0.25">
      <c r="B4" s="7" t="s">
        <v>66</v>
      </c>
      <c r="C4" s="7" t="s">
        <v>67</v>
      </c>
      <c r="D4" s="7" t="str">
        <f>IF(Tabela2[[#This Row],[Situação]]&lt;&gt;"Grupo",D3,Tabela2[[#This Row],[Categoria]])</f>
        <v>1.1 Receitas Diretas</v>
      </c>
    </row>
    <row r="5" spans="2:4" x14ac:dyDescent="0.25">
      <c r="B5" s="7" t="s">
        <v>68</v>
      </c>
      <c r="C5" s="7" t="s">
        <v>69</v>
      </c>
      <c r="D5" s="7" t="str">
        <f>IF(Tabela2[[#This Row],[Situação]]&lt;&gt;"Grupo",D4,Tabela2[[#This Row],[Categoria]])</f>
        <v>1.1 Receitas Diretas</v>
      </c>
    </row>
    <row r="6" spans="2:4" x14ac:dyDescent="0.25">
      <c r="B6" s="7" t="s">
        <v>66</v>
      </c>
      <c r="C6" s="7" t="s">
        <v>70</v>
      </c>
      <c r="D6" s="7" t="str">
        <f>IF(Tabela2[[#This Row],[Situação]]&lt;&gt;"Grupo",D5,Tabela2[[#This Row],[Categoria]])</f>
        <v>1.1 Receitas Diretas</v>
      </c>
    </row>
    <row r="7" spans="2:4" x14ac:dyDescent="0.25">
      <c r="B7" s="7" t="s">
        <v>66</v>
      </c>
      <c r="C7" s="7" t="s">
        <v>71</v>
      </c>
      <c r="D7" s="7" t="str">
        <f>IF(Tabela2[[#This Row],[Situação]]&lt;&gt;"Grupo",D6,Tabela2[[#This Row],[Categoria]])</f>
        <v>1.1 Receitas Diretas</v>
      </c>
    </row>
    <row r="8" spans="2:4" x14ac:dyDescent="0.25">
      <c r="B8" s="7" t="s">
        <v>65</v>
      </c>
      <c r="C8" s="7" t="s">
        <v>166</v>
      </c>
      <c r="D8" s="7" t="str">
        <f>IF(Tabela2[[#This Row],[Situação]]&lt;&gt;"Grupo",D7,Tabela2[[#This Row],[Categoria]])</f>
        <v>1.2 Receitas Indiretas</v>
      </c>
    </row>
    <row r="9" spans="2:4" x14ac:dyDescent="0.25">
      <c r="B9" s="7" t="s">
        <v>68</v>
      </c>
      <c r="C9" s="7" t="s">
        <v>72</v>
      </c>
      <c r="D9" s="7" t="str">
        <f>IF(Tabela2[[#This Row],[Situação]]&lt;&gt;"Grupo",D8,Tabela2[[#This Row],[Categoria]])</f>
        <v>1.2 Receitas Indiretas</v>
      </c>
    </row>
    <row r="10" spans="2:4" x14ac:dyDescent="0.25">
      <c r="B10" s="7" t="s">
        <v>68</v>
      </c>
      <c r="C10" s="7" t="s">
        <v>73</v>
      </c>
      <c r="D10" s="7" t="str">
        <f>IF(Tabela2[[#This Row],[Situação]]&lt;&gt;"Grupo",D9,Tabela2[[#This Row],[Categoria]])</f>
        <v>1.2 Receitas Indiretas</v>
      </c>
    </row>
    <row r="11" spans="2:4" x14ac:dyDescent="0.25">
      <c r="B11" s="7" t="s">
        <v>66</v>
      </c>
      <c r="C11" s="7" t="s">
        <v>71</v>
      </c>
      <c r="D11" s="7" t="str">
        <f>IF(Tabela2[[#This Row],[Situação]]&lt;&gt;"Grupo",D10,Tabela2[[#This Row],[Categoria]])</f>
        <v>1.2 Receitas Indiretas</v>
      </c>
    </row>
    <row r="12" spans="2:4" x14ac:dyDescent="0.25">
      <c r="B12" s="7" t="s">
        <v>65</v>
      </c>
      <c r="C12" s="7" t="s">
        <v>167</v>
      </c>
      <c r="D12" s="7" t="str">
        <f>IF(Tabela2[[#This Row],[Situação]]&lt;&gt;"Grupo",D11,Tabela2[[#This Row],[Categoria]])</f>
        <v>1.3 Devoluções</v>
      </c>
    </row>
    <row r="13" spans="2:4" x14ac:dyDescent="0.25">
      <c r="B13" s="7" t="s">
        <v>68</v>
      </c>
      <c r="C13" s="7" t="s">
        <v>74</v>
      </c>
      <c r="D13" s="7" t="str">
        <f>IF(Tabela2[[#This Row],[Situação]]&lt;&gt;"Grupo",D12,Tabela2[[#This Row],[Categoria]])</f>
        <v>1.3 Devoluções</v>
      </c>
    </row>
    <row r="14" spans="2:4" x14ac:dyDescent="0.25">
      <c r="B14" s="7" t="s">
        <v>68</v>
      </c>
      <c r="C14" s="7" t="s">
        <v>75</v>
      </c>
      <c r="D14" s="7" t="str">
        <f>IF(Tabela2[[#This Row],[Situação]]&lt;&gt;"Grupo",D13,Tabela2[[#This Row],[Categoria]])</f>
        <v>1.3 Devoluções</v>
      </c>
    </row>
    <row r="15" spans="2:4" x14ac:dyDescent="0.25">
      <c r="B15" s="7" t="s">
        <v>68</v>
      </c>
      <c r="C15" s="7" t="s">
        <v>76</v>
      </c>
      <c r="D15" s="7" t="str">
        <f>IF(Tabela2[[#This Row],[Situação]]&lt;&gt;"Grupo",D14,Tabela2[[#This Row],[Categoria]])</f>
        <v>1.3 Devoluções</v>
      </c>
    </row>
    <row r="16" spans="2:4" x14ac:dyDescent="0.25">
      <c r="B16" s="7" t="s">
        <v>68</v>
      </c>
      <c r="C16" s="7" t="s">
        <v>77</v>
      </c>
      <c r="D16" s="7" t="str">
        <f>IF(Tabela2[[#This Row],[Situação]]&lt;&gt;"Grupo",D15,Tabela2[[#This Row],[Categoria]])</f>
        <v>1.3 Devoluções</v>
      </c>
    </row>
    <row r="17" spans="2:4" x14ac:dyDescent="0.25">
      <c r="B17" s="7" t="s">
        <v>68</v>
      </c>
      <c r="C17" s="7" t="s">
        <v>78</v>
      </c>
      <c r="D17" s="7" t="str">
        <f>IF(Tabela2[[#This Row],[Situação]]&lt;&gt;"Grupo",D16,Tabela2[[#This Row],[Categoria]])</f>
        <v>1.3 Devoluções</v>
      </c>
    </row>
    <row r="18" spans="2:4" x14ac:dyDescent="0.25">
      <c r="B18" s="7" t="s">
        <v>66</v>
      </c>
      <c r="C18" s="7" t="s">
        <v>71</v>
      </c>
      <c r="D18" s="7" t="str">
        <f>IF(Tabela2[[#This Row],[Situação]]&lt;&gt;"Grupo",D17,Tabela2[[#This Row],[Categoria]])</f>
        <v>1.3 Devoluções</v>
      </c>
    </row>
    <row r="19" spans="2:4" x14ac:dyDescent="0.25">
      <c r="B19" s="7" t="s">
        <v>65</v>
      </c>
      <c r="C19" s="7" t="s">
        <v>168</v>
      </c>
      <c r="D19" s="7" t="str">
        <f>IF(Tabela2[[#This Row],[Situação]]&lt;&gt;"Grupo",D18,Tabela2[[#This Row],[Categoria]])</f>
        <v>1.4 Outras Entradas</v>
      </c>
    </row>
    <row r="20" spans="2:4" x14ac:dyDescent="0.25">
      <c r="B20" s="7" t="s">
        <v>68</v>
      </c>
      <c r="C20" s="7" t="s">
        <v>79</v>
      </c>
      <c r="D20" s="7" t="str">
        <f>IF(Tabela2[[#This Row],[Situação]]&lt;&gt;"Grupo",D19,Tabela2[[#This Row],[Categoria]])</f>
        <v>1.4 Outras Entradas</v>
      </c>
    </row>
    <row r="21" spans="2:4" x14ac:dyDescent="0.25">
      <c r="B21" s="7" t="s">
        <v>68</v>
      </c>
      <c r="C21" s="7" t="s">
        <v>80</v>
      </c>
      <c r="D21" s="7" t="str">
        <f>IF(Tabela2[[#This Row],[Situação]]&lt;&gt;"Grupo",D20,Tabela2[[#This Row],[Categoria]])</f>
        <v>1.4 Outras Entradas</v>
      </c>
    </row>
    <row r="22" spans="2:4" x14ac:dyDescent="0.25">
      <c r="B22" s="7" t="s">
        <v>68</v>
      </c>
      <c r="C22" s="7" t="s">
        <v>20</v>
      </c>
      <c r="D22" s="7" t="str">
        <f>IF(Tabela2[[#This Row],[Situação]]&lt;&gt;"Grupo",D21,Tabela2[[#This Row],[Categoria]])</f>
        <v>1.4 Outras Entradas</v>
      </c>
    </row>
    <row r="23" spans="2:4" x14ac:dyDescent="0.25">
      <c r="B23" s="7" t="s">
        <v>66</v>
      </c>
      <c r="C23" s="7" t="s">
        <v>81</v>
      </c>
      <c r="D23" s="7" t="str">
        <f>IF(Tabela2[[#This Row],[Situação]]&lt;&gt;"Grupo",D22,Tabela2[[#This Row],[Categoria]])</f>
        <v>1.4 Outras Entradas</v>
      </c>
    </row>
    <row r="24" spans="2:4" x14ac:dyDescent="0.25">
      <c r="B24" s="7" t="s">
        <v>66</v>
      </c>
      <c r="C24" s="7" t="s">
        <v>82</v>
      </c>
      <c r="D24" s="7" t="str">
        <f>IF(Tabela2[[#This Row],[Situação]]&lt;&gt;"Grupo",D23,Tabela2[[#This Row],[Categoria]])</f>
        <v>1.4 Outras Entradas</v>
      </c>
    </row>
    <row r="25" spans="2:4" x14ac:dyDescent="0.25">
      <c r="B25" s="7" t="s">
        <v>68</v>
      </c>
      <c r="C25" s="7" t="s">
        <v>83</v>
      </c>
      <c r="D25" s="7" t="str">
        <f>IF(Tabela2[[#This Row],[Situação]]&lt;&gt;"Grupo",D24,Tabela2[[#This Row],[Categoria]])</f>
        <v>1.4 Outras Entradas</v>
      </c>
    </row>
    <row r="26" spans="2:4" x14ac:dyDescent="0.25">
      <c r="B26" s="7" t="s">
        <v>66</v>
      </c>
      <c r="C26" s="7" t="s">
        <v>84</v>
      </c>
      <c r="D26" s="7" t="str">
        <f>IF(Tabela2[[#This Row],[Situação]]&lt;&gt;"Grupo",D25,Tabela2[[#This Row],[Categoria]])</f>
        <v>1.4 Outras Entradas</v>
      </c>
    </row>
    <row r="27" spans="2:4" x14ac:dyDescent="0.25">
      <c r="B27" s="7" t="s">
        <v>66</v>
      </c>
      <c r="C27" s="7" t="s">
        <v>71</v>
      </c>
      <c r="D27" s="7" t="str">
        <f>IF(Tabela2[[#This Row],[Situação]]&lt;&gt;"Grupo",D26,Tabela2[[#This Row],[Categoria]])</f>
        <v>1.4 Outras Entradas</v>
      </c>
    </row>
    <row r="28" spans="2:4" x14ac:dyDescent="0.25">
      <c r="B28" s="7" t="s">
        <v>65</v>
      </c>
      <c r="C28" s="7" t="s">
        <v>85</v>
      </c>
      <c r="D28" s="7" t="str">
        <f>IF(Tabela2[[#This Row],[Situação]]&lt;&gt;"Grupo",D27,Tabela2[[#This Row],[Categoria]])</f>
        <v>&lt;Incluir novo grupo de Receita&gt;</v>
      </c>
    </row>
    <row r="29" spans="2:4" x14ac:dyDescent="0.25">
      <c r="B29" s="7" t="s">
        <v>65</v>
      </c>
      <c r="C29" s="7" t="s">
        <v>169</v>
      </c>
      <c r="D29" s="7" t="str">
        <f>IF(Tabela2[[#This Row],[Situação]]&lt;&gt;"Grupo",D28,Tabela2[[#This Row],[Categoria]])</f>
        <v>2.1 Despesas Diretas</v>
      </c>
    </row>
    <row r="30" spans="2:4" x14ac:dyDescent="0.25">
      <c r="B30" s="7" t="s">
        <v>68</v>
      </c>
      <c r="C30" s="7" t="s">
        <v>86</v>
      </c>
      <c r="D30" s="7" t="str">
        <f>IF(Tabela2[[#This Row],[Situação]]&lt;&gt;"Grupo",D29,Tabela2[[#This Row],[Categoria]])</f>
        <v>2.1 Despesas Diretas</v>
      </c>
    </row>
    <row r="31" spans="2:4" x14ac:dyDescent="0.25">
      <c r="B31" s="7" t="s">
        <v>68</v>
      </c>
      <c r="C31" s="7" t="s">
        <v>87</v>
      </c>
      <c r="D31" s="7" t="str">
        <f>IF(Tabela2[[#This Row],[Situação]]&lt;&gt;"Grupo",D30,Tabela2[[#This Row],[Categoria]])</f>
        <v>2.1 Despesas Diretas</v>
      </c>
    </row>
    <row r="32" spans="2:4" x14ac:dyDescent="0.25">
      <c r="B32" s="7" t="s">
        <v>68</v>
      </c>
      <c r="C32" s="7" t="s">
        <v>88</v>
      </c>
      <c r="D32" s="7" t="str">
        <f>IF(Tabela2[[#This Row],[Situação]]&lt;&gt;"Grupo",D31,Tabela2[[#This Row],[Categoria]])</f>
        <v>2.1 Despesas Diretas</v>
      </c>
    </row>
    <row r="33" spans="2:4" x14ac:dyDescent="0.25">
      <c r="B33" s="7" t="s">
        <v>68</v>
      </c>
      <c r="C33" s="7" t="s">
        <v>89</v>
      </c>
      <c r="D33" s="7" t="str">
        <f>IF(Tabela2[[#This Row],[Situação]]&lt;&gt;"Grupo",D32,Tabela2[[#This Row],[Categoria]])</f>
        <v>2.1 Despesas Diretas</v>
      </c>
    </row>
    <row r="34" spans="2:4" x14ac:dyDescent="0.25">
      <c r="B34" s="7" t="s">
        <v>68</v>
      </c>
      <c r="C34" s="7" t="s">
        <v>90</v>
      </c>
      <c r="D34" s="7" t="str">
        <f>IF(Tabela2[[#This Row],[Situação]]&lt;&gt;"Grupo",D33,Tabela2[[#This Row],[Categoria]])</f>
        <v>2.1 Despesas Diretas</v>
      </c>
    </row>
    <row r="35" spans="2:4" x14ac:dyDescent="0.25">
      <c r="B35" s="7" t="s">
        <v>68</v>
      </c>
      <c r="C35" s="7" t="s">
        <v>91</v>
      </c>
      <c r="D35" s="7" t="str">
        <f>IF(Tabela2[[#This Row],[Situação]]&lt;&gt;"Grupo",D34,Tabela2[[#This Row],[Categoria]])</f>
        <v>2.1 Despesas Diretas</v>
      </c>
    </row>
    <row r="36" spans="2:4" x14ac:dyDescent="0.25">
      <c r="B36" s="7" t="s">
        <v>68</v>
      </c>
      <c r="C36" s="7" t="s">
        <v>92</v>
      </c>
      <c r="D36" s="7" t="str">
        <f>IF(Tabela2[[#This Row],[Situação]]&lt;&gt;"Grupo",D35,Tabela2[[#This Row],[Categoria]])</f>
        <v>2.1 Despesas Diretas</v>
      </c>
    </row>
    <row r="37" spans="2:4" x14ac:dyDescent="0.25">
      <c r="B37" s="7" t="s">
        <v>68</v>
      </c>
      <c r="C37" s="7" t="s">
        <v>93</v>
      </c>
      <c r="D37" s="7" t="str">
        <f>IF(Tabela2[[#This Row],[Situação]]&lt;&gt;"Grupo",D36,Tabela2[[#This Row],[Categoria]])</f>
        <v>2.1 Despesas Diretas</v>
      </c>
    </row>
    <row r="38" spans="2:4" x14ac:dyDescent="0.25">
      <c r="B38" s="7" t="s">
        <v>68</v>
      </c>
      <c r="C38" s="7" t="s">
        <v>94</v>
      </c>
      <c r="D38" s="7" t="str">
        <f>IF(Tabela2[[#This Row],[Situação]]&lt;&gt;"Grupo",D37,Tabela2[[#This Row],[Categoria]])</f>
        <v>2.1 Despesas Diretas</v>
      </c>
    </row>
    <row r="39" spans="2:4" x14ac:dyDescent="0.25">
      <c r="B39" s="7" t="s">
        <v>68</v>
      </c>
      <c r="C39" s="7" t="s">
        <v>95</v>
      </c>
      <c r="D39" s="7" t="str">
        <f>IF(Tabela2[[#This Row],[Situação]]&lt;&gt;"Grupo",D38,Tabela2[[#This Row],[Categoria]])</f>
        <v>2.1 Despesas Diretas</v>
      </c>
    </row>
    <row r="40" spans="2:4" x14ac:dyDescent="0.25">
      <c r="B40" s="7" t="s">
        <v>68</v>
      </c>
      <c r="C40" s="7" t="s">
        <v>96</v>
      </c>
      <c r="D40" s="7" t="str">
        <f>IF(Tabela2[[#This Row],[Situação]]&lt;&gt;"Grupo",D39,Tabela2[[#This Row],[Categoria]])</f>
        <v>2.1 Despesas Diretas</v>
      </c>
    </row>
    <row r="41" spans="2:4" x14ac:dyDescent="0.25">
      <c r="B41" s="7" t="s">
        <v>68</v>
      </c>
      <c r="C41" s="7" t="s">
        <v>97</v>
      </c>
      <c r="D41" s="7" t="str">
        <f>IF(Tabela2[[#This Row],[Situação]]&lt;&gt;"Grupo",D40,Tabela2[[#This Row],[Categoria]])</f>
        <v>2.1 Despesas Diretas</v>
      </c>
    </row>
    <row r="42" spans="2:4" x14ac:dyDescent="0.25">
      <c r="B42" s="7" t="s">
        <v>68</v>
      </c>
      <c r="C42" s="7" t="s">
        <v>98</v>
      </c>
      <c r="D42" s="7" t="str">
        <f>IF(Tabela2[[#This Row],[Situação]]&lt;&gt;"Grupo",D41,Tabela2[[#This Row],[Categoria]])</f>
        <v>2.1 Despesas Diretas</v>
      </c>
    </row>
    <row r="43" spans="2:4" x14ac:dyDescent="0.25">
      <c r="B43" s="7" t="s">
        <v>68</v>
      </c>
      <c r="C43" s="7" t="s">
        <v>99</v>
      </c>
      <c r="D43" s="7" t="str">
        <f>IF(Tabela2[[#This Row],[Situação]]&lt;&gt;"Grupo",D42,Tabela2[[#This Row],[Categoria]])</f>
        <v>2.1 Despesas Diretas</v>
      </c>
    </row>
    <row r="44" spans="2:4" x14ac:dyDescent="0.25">
      <c r="B44" s="7" t="s">
        <v>68</v>
      </c>
      <c r="C44" s="7" t="s">
        <v>100</v>
      </c>
      <c r="D44" s="7" t="str">
        <f>IF(Tabela2[[#This Row],[Situação]]&lt;&gt;"Grupo",D43,Tabela2[[#This Row],[Categoria]])</f>
        <v>2.1 Despesas Diretas</v>
      </c>
    </row>
    <row r="45" spans="2:4" x14ac:dyDescent="0.25">
      <c r="B45" s="7" t="s">
        <v>68</v>
      </c>
      <c r="C45" s="7" t="s">
        <v>101</v>
      </c>
      <c r="D45" s="7" t="str">
        <f>IF(Tabela2[[#This Row],[Situação]]&lt;&gt;"Grupo",D44,Tabela2[[#This Row],[Categoria]])</f>
        <v>2.1 Despesas Diretas</v>
      </c>
    </row>
    <row r="46" spans="2:4" x14ac:dyDescent="0.25">
      <c r="B46" s="7" t="s">
        <v>68</v>
      </c>
      <c r="C46" s="7" t="s">
        <v>102</v>
      </c>
      <c r="D46" s="7" t="str">
        <f>IF(Tabela2[[#This Row],[Situação]]&lt;&gt;"Grupo",D45,Tabela2[[#This Row],[Categoria]])</f>
        <v>2.1 Despesas Diretas</v>
      </c>
    </row>
    <row r="47" spans="2:4" x14ac:dyDescent="0.25">
      <c r="B47" s="7" t="s">
        <v>68</v>
      </c>
      <c r="C47" s="7" t="s">
        <v>103</v>
      </c>
      <c r="D47" s="7" t="str">
        <f>IF(Tabela2[[#This Row],[Situação]]&lt;&gt;"Grupo",D46,Tabela2[[#This Row],[Categoria]])</f>
        <v>2.1 Despesas Diretas</v>
      </c>
    </row>
    <row r="48" spans="2:4" x14ac:dyDescent="0.25">
      <c r="B48" s="7" t="s">
        <v>68</v>
      </c>
      <c r="C48" s="7" t="s">
        <v>104</v>
      </c>
      <c r="D48" s="7" t="str">
        <f>IF(Tabela2[[#This Row],[Situação]]&lt;&gt;"Grupo",D47,Tabela2[[#This Row],[Categoria]])</f>
        <v>2.1 Despesas Diretas</v>
      </c>
    </row>
    <row r="49" spans="2:4" x14ac:dyDescent="0.25">
      <c r="B49" s="7" t="s">
        <v>68</v>
      </c>
      <c r="C49" s="7" t="s">
        <v>105</v>
      </c>
      <c r="D49" s="7" t="str">
        <f>IF(Tabela2[[#This Row],[Situação]]&lt;&gt;"Grupo",D48,Tabela2[[#This Row],[Categoria]])</f>
        <v>2.1 Despesas Diretas</v>
      </c>
    </row>
    <row r="50" spans="2:4" x14ac:dyDescent="0.25">
      <c r="B50" s="7" t="s">
        <v>68</v>
      </c>
      <c r="C50" s="7" t="s">
        <v>106</v>
      </c>
      <c r="D50" s="7" t="str">
        <f>IF(Tabela2[[#This Row],[Situação]]&lt;&gt;"Grupo",D49,Tabela2[[#This Row],[Categoria]])</f>
        <v>2.1 Despesas Diretas</v>
      </c>
    </row>
    <row r="51" spans="2:4" x14ac:dyDescent="0.25">
      <c r="B51" s="7" t="s">
        <v>68</v>
      </c>
      <c r="C51" s="7" t="s">
        <v>107</v>
      </c>
      <c r="D51" s="7" t="str">
        <f>IF(Tabela2[[#This Row],[Situação]]&lt;&gt;"Grupo",D50,Tabela2[[#This Row],[Categoria]])</f>
        <v>2.1 Despesas Diretas</v>
      </c>
    </row>
    <row r="52" spans="2:4" x14ac:dyDescent="0.25">
      <c r="B52" s="7" t="s">
        <v>68</v>
      </c>
      <c r="C52" s="7" t="s">
        <v>108</v>
      </c>
      <c r="D52" s="7" t="str">
        <f>IF(Tabela2[[#This Row],[Situação]]&lt;&gt;"Grupo",D51,Tabela2[[#This Row],[Categoria]])</f>
        <v>2.1 Despesas Diretas</v>
      </c>
    </row>
    <row r="53" spans="2:4" x14ac:dyDescent="0.25">
      <c r="B53" s="7" t="s">
        <v>68</v>
      </c>
      <c r="C53" s="7" t="s">
        <v>109</v>
      </c>
      <c r="D53" s="7" t="str">
        <f>IF(Tabela2[[#This Row],[Situação]]&lt;&gt;"Grupo",D52,Tabela2[[#This Row],[Categoria]])</f>
        <v>2.1 Despesas Diretas</v>
      </c>
    </row>
    <row r="54" spans="2:4" x14ac:dyDescent="0.25">
      <c r="B54" s="7" t="s">
        <v>68</v>
      </c>
      <c r="C54" s="7" t="s">
        <v>110</v>
      </c>
      <c r="D54" s="7" t="str">
        <f>IF(Tabela2[[#This Row],[Situação]]&lt;&gt;"Grupo",D53,Tabela2[[#This Row],[Categoria]])</f>
        <v>2.1 Despesas Diretas</v>
      </c>
    </row>
    <row r="55" spans="2:4" x14ac:dyDescent="0.25">
      <c r="B55" s="7" t="s">
        <v>66</v>
      </c>
      <c r="C55" s="7" t="s">
        <v>71</v>
      </c>
      <c r="D55" s="7" t="str">
        <f>IF(Tabela2[[#This Row],[Situação]]&lt;&gt;"Grupo",D54,Tabela2[[#This Row],[Categoria]])</f>
        <v>2.1 Despesas Diretas</v>
      </c>
    </row>
    <row r="56" spans="2:4" x14ac:dyDescent="0.25">
      <c r="B56" s="7" t="s">
        <v>65</v>
      </c>
      <c r="C56" s="7" t="s">
        <v>170</v>
      </c>
      <c r="D56" s="7" t="str">
        <f>IF(Tabela2[[#This Row],[Situação]]&lt;&gt;"Grupo",D55,Tabela2[[#This Row],[Categoria]])</f>
        <v>2.2 Despesas de Vendas e Marketing</v>
      </c>
    </row>
    <row r="57" spans="2:4" x14ac:dyDescent="0.25">
      <c r="B57" s="7" t="s">
        <v>68</v>
      </c>
      <c r="C57" s="7" t="s">
        <v>111</v>
      </c>
      <c r="D57" s="7" t="str">
        <f>IF(Tabela2[[#This Row],[Situação]]&lt;&gt;"Grupo",D56,Tabela2[[#This Row],[Categoria]])</f>
        <v>2.2 Despesas de Vendas e Marketing</v>
      </c>
    </row>
    <row r="58" spans="2:4" x14ac:dyDescent="0.25">
      <c r="B58" s="7" t="s">
        <v>68</v>
      </c>
      <c r="C58" s="7" t="s">
        <v>112</v>
      </c>
      <c r="D58" s="7" t="str">
        <f>IF(Tabela2[[#This Row],[Situação]]&lt;&gt;"Grupo",D57,Tabela2[[#This Row],[Categoria]])</f>
        <v>2.2 Despesas de Vendas e Marketing</v>
      </c>
    </row>
    <row r="59" spans="2:4" x14ac:dyDescent="0.25">
      <c r="B59" s="7" t="s">
        <v>68</v>
      </c>
      <c r="C59" s="7" t="s">
        <v>28</v>
      </c>
      <c r="D59" s="7" t="str">
        <f>IF(Tabela2[[#This Row],[Situação]]&lt;&gt;"Grupo",D58,Tabela2[[#This Row],[Categoria]])</f>
        <v>2.2 Despesas de Vendas e Marketing</v>
      </c>
    </row>
    <row r="60" spans="2:4" x14ac:dyDescent="0.25">
      <c r="B60" s="7" t="s">
        <v>68</v>
      </c>
      <c r="C60" s="7" t="s">
        <v>113</v>
      </c>
      <c r="D60" s="7" t="str">
        <f>IF(Tabela2[[#This Row],[Situação]]&lt;&gt;"Grupo",D59,Tabela2[[#This Row],[Categoria]])</f>
        <v>2.2 Despesas de Vendas e Marketing</v>
      </c>
    </row>
    <row r="61" spans="2:4" x14ac:dyDescent="0.25">
      <c r="B61" s="7" t="s">
        <v>66</v>
      </c>
      <c r="C61" s="7" t="s">
        <v>71</v>
      </c>
      <c r="D61" s="7" t="str">
        <f>IF(Tabela2[[#This Row],[Situação]]&lt;&gt;"Grupo",D60,Tabela2[[#This Row],[Categoria]])</f>
        <v>2.2 Despesas de Vendas e Marketing</v>
      </c>
    </row>
    <row r="62" spans="2:4" x14ac:dyDescent="0.25">
      <c r="B62" s="7" t="s">
        <v>65</v>
      </c>
      <c r="C62" s="7" t="s">
        <v>171</v>
      </c>
      <c r="D62" s="7" t="str">
        <f>IF(Tabela2[[#This Row],[Situação]]&lt;&gt;"Grupo",D61,Tabela2[[#This Row],[Categoria]])</f>
        <v>2.3 Despesas com Pessoal</v>
      </c>
    </row>
    <row r="63" spans="2:4" x14ac:dyDescent="0.25">
      <c r="B63" s="7" t="s">
        <v>68</v>
      </c>
      <c r="C63" s="7" t="s">
        <v>114</v>
      </c>
      <c r="D63" s="7" t="str">
        <f>IF(Tabela2[[#This Row],[Situação]]&lt;&gt;"Grupo",D62,Tabela2[[#This Row],[Categoria]])</f>
        <v>2.3 Despesas com Pessoal</v>
      </c>
    </row>
    <row r="64" spans="2:4" x14ac:dyDescent="0.25">
      <c r="B64" s="7" t="s">
        <v>68</v>
      </c>
      <c r="C64" s="7" t="s">
        <v>115</v>
      </c>
      <c r="D64" s="7" t="str">
        <f>IF(Tabela2[[#This Row],[Situação]]&lt;&gt;"Grupo",D63,Tabela2[[#This Row],[Categoria]])</f>
        <v>2.3 Despesas com Pessoal</v>
      </c>
    </row>
    <row r="65" spans="2:4" x14ac:dyDescent="0.25">
      <c r="B65" s="7" t="s">
        <v>68</v>
      </c>
      <c r="C65" s="7" t="s">
        <v>116</v>
      </c>
      <c r="D65" s="7" t="str">
        <f>IF(Tabela2[[#This Row],[Situação]]&lt;&gt;"Grupo",D64,Tabela2[[#This Row],[Categoria]])</f>
        <v>2.3 Despesas com Pessoal</v>
      </c>
    </row>
    <row r="66" spans="2:4" x14ac:dyDescent="0.25">
      <c r="B66" s="7" t="s">
        <v>68</v>
      </c>
      <c r="C66" s="7" t="s">
        <v>117</v>
      </c>
      <c r="D66" s="7" t="str">
        <f>IF(Tabela2[[#This Row],[Situação]]&lt;&gt;"Grupo",D65,Tabela2[[#This Row],[Categoria]])</f>
        <v>2.3 Despesas com Pessoal</v>
      </c>
    </row>
    <row r="67" spans="2:4" x14ac:dyDescent="0.25">
      <c r="B67" s="7" t="s">
        <v>68</v>
      </c>
      <c r="C67" s="7" t="s">
        <v>118</v>
      </c>
      <c r="D67" s="7" t="str">
        <f>IF(Tabela2[[#This Row],[Situação]]&lt;&gt;"Grupo",D66,Tabela2[[#This Row],[Categoria]])</f>
        <v>2.3 Despesas com Pessoal</v>
      </c>
    </row>
    <row r="68" spans="2:4" x14ac:dyDescent="0.25">
      <c r="B68" s="7" t="s">
        <v>68</v>
      </c>
      <c r="C68" s="7" t="s">
        <v>119</v>
      </c>
      <c r="D68" s="7" t="str">
        <f>IF(Tabela2[[#This Row],[Situação]]&lt;&gt;"Grupo",D67,Tabela2[[#This Row],[Categoria]])</f>
        <v>2.3 Despesas com Pessoal</v>
      </c>
    </row>
    <row r="69" spans="2:4" x14ac:dyDescent="0.25">
      <c r="B69" s="7" t="s">
        <v>68</v>
      </c>
      <c r="C69" s="7" t="s">
        <v>120</v>
      </c>
      <c r="D69" s="7" t="str">
        <f>IF(Tabela2[[#This Row],[Situação]]&lt;&gt;"Grupo",D68,Tabela2[[#This Row],[Categoria]])</f>
        <v>2.3 Despesas com Pessoal</v>
      </c>
    </row>
    <row r="70" spans="2:4" x14ac:dyDescent="0.25">
      <c r="B70" s="7" t="s">
        <v>68</v>
      </c>
      <c r="C70" s="7" t="s">
        <v>121</v>
      </c>
      <c r="D70" s="7" t="str">
        <f>IF(Tabela2[[#This Row],[Situação]]&lt;&gt;"Grupo",D69,Tabela2[[#This Row],[Categoria]])</f>
        <v>2.3 Despesas com Pessoal</v>
      </c>
    </row>
    <row r="71" spans="2:4" x14ac:dyDescent="0.25">
      <c r="B71" s="7" t="s">
        <v>68</v>
      </c>
      <c r="C71" s="7" t="s">
        <v>122</v>
      </c>
      <c r="D71" s="7" t="str">
        <f>IF(Tabela2[[#This Row],[Situação]]&lt;&gt;"Grupo",D70,Tabela2[[#This Row],[Categoria]])</f>
        <v>2.3 Despesas com Pessoal</v>
      </c>
    </row>
    <row r="72" spans="2:4" x14ac:dyDescent="0.25">
      <c r="B72" s="7" t="s">
        <v>68</v>
      </c>
      <c r="C72" s="7" t="s">
        <v>123</v>
      </c>
      <c r="D72" s="7" t="str">
        <f>IF(Tabela2[[#This Row],[Situação]]&lt;&gt;"Grupo",D71,Tabela2[[#This Row],[Categoria]])</f>
        <v>2.3 Despesas com Pessoal</v>
      </c>
    </row>
    <row r="73" spans="2:4" x14ac:dyDescent="0.25">
      <c r="B73" s="7" t="s">
        <v>68</v>
      </c>
      <c r="C73" s="7" t="s">
        <v>124</v>
      </c>
      <c r="D73" s="7" t="str">
        <f>IF(Tabela2[[#This Row],[Situação]]&lt;&gt;"Grupo",D72,Tabela2[[#This Row],[Categoria]])</f>
        <v>2.3 Despesas com Pessoal</v>
      </c>
    </row>
    <row r="74" spans="2:4" x14ac:dyDescent="0.25">
      <c r="B74" s="7" t="s">
        <v>68</v>
      </c>
      <c r="C74" s="7" t="s">
        <v>125</v>
      </c>
      <c r="D74" s="7" t="str">
        <f>IF(Tabela2[[#This Row],[Situação]]&lt;&gt;"Grupo",D73,Tabela2[[#This Row],[Categoria]])</f>
        <v>2.3 Despesas com Pessoal</v>
      </c>
    </row>
    <row r="75" spans="2:4" x14ac:dyDescent="0.25">
      <c r="B75" s="7" t="s">
        <v>68</v>
      </c>
      <c r="C75" s="7" t="s">
        <v>126</v>
      </c>
      <c r="D75" s="7" t="str">
        <f>IF(Tabela2[[#This Row],[Situação]]&lt;&gt;"Grupo",D74,Tabela2[[#This Row],[Categoria]])</f>
        <v>2.3 Despesas com Pessoal</v>
      </c>
    </row>
    <row r="76" spans="2:4" x14ac:dyDescent="0.25">
      <c r="B76" s="7" t="s">
        <v>68</v>
      </c>
      <c r="C76" s="7" t="s">
        <v>127</v>
      </c>
      <c r="D76" s="7" t="str">
        <f>IF(Tabela2[[#This Row],[Situação]]&lt;&gt;"Grupo",D75,Tabela2[[#This Row],[Categoria]])</f>
        <v>2.3 Despesas com Pessoal</v>
      </c>
    </row>
    <row r="77" spans="2:4" x14ac:dyDescent="0.25">
      <c r="B77" s="7" t="s">
        <v>66</v>
      </c>
      <c r="C77" s="7" t="s">
        <v>71</v>
      </c>
      <c r="D77" s="7" t="str">
        <f>IF(Tabela2[[#This Row],[Situação]]&lt;&gt;"Grupo",D76,Tabela2[[#This Row],[Categoria]])</f>
        <v>2.3 Despesas com Pessoal</v>
      </c>
    </row>
    <row r="78" spans="2:4" x14ac:dyDescent="0.25">
      <c r="B78" s="7" t="s">
        <v>65</v>
      </c>
      <c r="C78" s="7" t="s">
        <v>172</v>
      </c>
      <c r="D78" s="7" t="str">
        <f>IF(Tabela2[[#This Row],[Situação]]&lt;&gt;"Grupo",D77,Tabela2[[#This Row],[Categoria]])</f>
        <v>2.4 Despesas Administrativas</v>
      </c>
    </row>
    <row r="79" spans="2:4" x14ac:dyDescent="0.25">
      <c r="B79" s="7" t="s">
        <v>68</v>
      </c>
      <c r="C79" s="7" t="s">
        <v>128</v>
      </c>
      <c r="D79" s="7" t="str">
        <f>IF(Tabela2[[#This Row],[Situação]]&lt;&gt;"Grupo",D78,Tabela2[[#This Row],[Categoria]])</f>
        <v>2.4 Despesas Administrativas</v>
      </c>
    </row>
    <row r="80" spans="2:4" x14ac:dyDescent="0.25">
      <c r="B80" s="7" t="s">
        <v>68</v>
      </c>
      <c r="C80" s="7" t="s">
        <v>129</v>
      </c>
      <c r="D80" s="7" t="str">
        <f>IF(Tabela2[[#This Row],[Situação]]&lt;&gt;"Grupo",D79,Tabela2[[#This Row],[Categoria]])</f>
        <v>2.4 Despesas Administrativas</v>
      </c>
    </row>
    <row r="81" spans="2:4" x14ac:dyDescent="0.25">
      <c r="B81" s="7" t="s">
        <v>68</v>
      </c>
      <c r="C81" s="7" t="s">
        <v>130</v>
      </c>
      <c r="D81" s="7" t="str">
        <f>IF(Tabela2[[#This Row],[Situação]]&lt;&gt;"Grupo",D80,Tabela2[[#This Row],[Categoria]])</f>
        <v>2.4 Despesas Administrativas</v>
      </c>
    </row>
    <row r="82" spans="2:4" x14ac:dyDescent="0.25">
      <c r="B82" s="7" t="s">
        <v>68</v>
      </c>
      <c r="C82" s="7" t="s">
        <v>131</v>
      </c>
      <c r="D82" s="7" t="str">
        <f>IF(Tabela2[[#This Row],[Situação]]&lt;&gt;"Grupo",D81,Tabela2[[#This Row],[Categoria]])</f>
        <v>2.4 Despesas Administrativas</v>
      </c>
    </row>
    <row r="83" spans="2:4" x14ac:dyDescent="0.25">
      <c r="B83" s="7" t="s">
        <v>68</v>
      </c>
      <c r="C83" s="7" t="s">
        <v>132</v>
      </c>
      <c r="D83" s="7" t="str">
        <f>IF(Tabela2[[#This Row],[Situação]]&lt;&gt;"Grupo",D82,Tabela2[[#This Row],[Categoria]])</f>
        <v>2.4 Despesas Administrativas</v>
      </c>
    </row>
    <row r="84" spans="2:4" x14ac:dyDescent="0.25">
      <c r="B84" s="7" t="s">
        <v>68</v>
      </c>
      <c r="C84" s="7" t="s">
        <v>133</v>
      </c>
      <c r="D84" s="7" t="str">
        <f>IF(Tabela2[[#This Row],[Situação]]&lt;&gt;"Grupo",D83,Tabela2[[#This Row],[Categoria]])</f>
        <v>2.4 Despesas Administrativas</v>
      </c>
    </row>
    <row r="85" spans="2:4" x14ac:dyDescent="0.25">
      <c r="B85" s="7" t="s">
        <v>68</v>
      </c>
      <c r="C85" s="7" t="s">
        <v>134</v>
      </c>
      <c r="D85" s="7" t="str">
        <f>IF(Tabela2[[#This Row],[Situação]]&lt;&gt;"Grupo",D84,Tabela2[[#This Row],[Categoria]])</f>
        <v>2.4 Despesas Administrativas</v>
      </c>
    </row>
    <row r="86" spans="2:4" x14ac:dyDescent="0.25">
      <c r="B86" s="7" t="s">
        <v>68</v>
      </c>
      <c r="C86" s="7" t="s">
        <v>135</v>
      </c>
      <c r="D86" s="7" t="str">
        <f>IF(Tabela2[[#This Row],[Situação]]&lt;&gt;"Grupo",D85,Tabela2[[#This Row],[Categoria]])</f>
        <v>2.4 Despesas Administrativas</v>
      </c>
    </row>
    <row r="87" spans="2:4" x14ac:dyDescent="0.25">
      <c r="B87" s="7" t="s">
        <v>68</v>
      </c>
      <c r="C87" s="7" t="s">
        <v>136</v>
      </c>
      <c r="D87" s="7" t="str">
        <f>IF(Tabela2[[#This Row],[Situação]]&lt;&gt;"Grupo",D86,Tabela2[[#This Row],[Categoria]])</f>
        <v>2.4 Despesas Administrativas</v>
      </c>
    </row>
    <row r="88" spans="2:4" x14ac:dyDescent="0.25">
      <c r="B88" s="7" t="s">
        <v>68</v>
      </c>
      <c r="C88" s="7" t="s">
        <v>137</v>
      </c>
      <c r="D88" s="7" t="str">
        <f>IF(Tabela2[[#This Row],[Situação]]&lt;&gt;"Grupo",D87,Tabela2[[#This Row],[Categoria]])</f>
        <v>2.4 Despesas Administrativas</v>
      </c>
    </row>
    <row r="89" spans="2:4" x14ac:dyDescent="0.25">
      <c r="B89" s="7" t="s">
        <v>68</v>
      </c>
      <c r="C89" s="7" t="s">
        <v>138</v>
      </c>
      <c r="D89" s="7" t="str">
        <f>IF(Tabela2[[#This Row],[Situação]]&lt;&gt;"Grupo",D88,Tabela2[[#This Row],[Categoria]])</f>
        <v>2.4 Despesas Administrativas</v>
      </c>
    </row>
    <row r="90" spans="2:4" x14ac:dyDescent="0.25">
      <c r="B90" s="7" t="s">
        <v>66</v>
      </c>
      <c r="C90" s="7" t="s">
        <v>139</v>
      </c>
      <c r="D90" s="7" t="str">
        <f>IF(Tabela2[[#This Row],[Situação]]&lt;&gt;"Grupo",D89,Tabela2[[#This Row],[Categoria]])</f>
        <v>2.4 Despesas Administrativas</v>
      </c>
    </row>
    <row r="91" spans="2:4" x14ac:dyDescent="0.25">
      <c r="B91" s="7" t="s">
        <v>68</v>
      </c>
      <c r="C91" s="7" t="s">
        <v>140</v>
      </c>
      <c r="D91" s="7" t="str">
        <f>IF(Tabela2[[#This Row],[Situação]]&lt;&gt;"Grupo",D90,Tabela2[[#This Row],[Categoria]])</f>
        <v>2.4 Despesas Administrativas</v>
      </c>
    </row>
    <row r="92" spans="2:4" x14ac:dyDescent="0.25">
      <c r="B92" s="7" t="s">
        <v>68</v>
      </c>
      <c r="C92" s="7" t="s">
        <v>141</v>
      </c>
      <c r="D92" s="7" t="str">
        <f>IF(Tabela2[[#This Row],[Situação]]&lt;&gt;"Grupo",D91,Tabela2[[#This Row],[Categoria]])</f>
        <v>2.4 Despesas Administrativas</v>
      </c>
    </row>
    <row r="93" spans="2:4" x14ac:dyDescent="0.25">
      <c r="B93" s="7" t="s">
        <v>68</v>
      </c>
      <c r="C93" s="7" t="s">
        <v>38</v>
      </c>
      <c r="D93" s="7" t="str">
        <f>IF(Tabela2[[#This Row],[Situação]]&lt;&gt;"Grupo",D92,Tabela2[[#This Row],[Categoria]])</f>
        <v>2.4 Despesas Administrativas</v>
      </c>
    </row>
    <row r="94" spans="2:4" x14ac:dyDescent="0.25">
      <c r="B94" s="7" t="s">
        <v>68</v>
      </c>
      <c r="C94" s="7" t="s">
        <v>43</v>
      </c>
      <c r="D94" s="7" t="str">
        <f>IF(Tabela2[[#This Row],[Situação]]&lt;&gt;"Grupo",D93,Tabela2[[#This Row],[Categoria]])</f>
        <v>2.4 Despesas Administrativas</v>
      </c>
    </row>
    <row r="95" spans="2:4" x14ac:dyDescent="0.25">
      <c r="B95" s="7" t="s">
        <v>68</v>
      </c>
      <c r="C95" s="7" t="s">
        <v>45</v>
      </c>
      <c r="D95" s="7" t="str">
        <f>IF(Tabela2[[#This Row],[Situação]]&lt;&gt;"Grupo",D94,Tabela2[[#This Row],[Categoria]])</f>
        <v>2.4 Despesas Administrativas</v>
      </c>
    </row>
    <row r="96" spans="2:4" x14ac:dyDescent="0.25">
      <c r="B96" s="7" t="s">
        <v>68</v>
      </c>
      <c r="C96" s="7" t="s">
        <v>33</v>
      </c>
      <c r="D96" s="7" t="str">
        <f>IF(Tabela2[[#This Row],[Situação]]&lt;&gt;"Grupo",D95,Tabela2[[#This Row],[Categoria]])</f>
        <v>2.4 Despesas Administrativas</v>
      </c>
    </row>
    <row r="97" spans="2:4" x14ac:dyDescent="0.25">
      <c r="B97" s="7" t="s">
        <v>68</v>
      </c>
      <c r="C97" s="7" t="s">
        <v>142</v>
      </c>
      <c r="D97" s="7" t="str">
        <f>IF(Tabela2[[#This Row],[Situação]]&lt;&gt;"Grupo",D96,Tabela2[[#This Row],[Categoria]])</f>
        <v>2.4 Despesas Administrativas</v>
      </c>
    </row>
    <row r="98" spans="2:4" x14ac:dyDescent="0.25">
      <c r="B98" s="7" t="s">
        <v>66</v>
      </c>
      <c r="C98" s="7" t="s">
        <v>71</v>
      </c>
      <c r="D98" s="7" t="str">
        <f>IF(Tabela2[[#This Row],[Situação]]&lt;&gt;"Grupo",D97,Tabela2[[#This Row],[Categoria]])</f>
        <v>2.4 Despesas Administrativas</v>
      </c>
    </row>
    <row r="99" spans="2:4" x14ac:dyDescent="0.25">
      <c r="B99" s="7" t="s">
        <v>65</v>
      </c>
      <c r="C99" s="7" t="s">
        <v>173</v>
      </c>
      <c r="D99" s="7" t="str">
        <f>IF(Tabela2[[#This Row],[Situação]]&lt;&gt;"Grupo",D98,Tabela2[[#This Row],[Categoria]])</f>
        <v>2.5 Despesas Financeiras / Bancos</v>
      </c>
    </row>
    <row r="100" spans="2:4" x14ac:dyDescent="0.25">
      <c r="B100" s="7" t="s">
        <v>68</v>
      </c>
      <c r="C100" s="7" t="s">
        <v>143</v>
      </c>
      <c r="D100" s="7" t="str">
        <f>IF(Tabela2[[#This Row],[Situação]]&lt;&gt;"Grupo",D99,Tabela2[[#This Row],[Categoria]])</f>
        <v>2.5 Despesas Financeiras / Bancos</v>
      </c>
    </row>
    <row r="101" spans="2:4" x14ac:dyDescent="0.25">
      <c r="B101" s="7" t="s">
        <v>68</v>
      </c>
      <c r="C101" s="7" t="s">
        <v>144</v>
      </c>
      <c r="D101" s="7" t="str">
        <f>IF(Tabela2[[#This Row],[Situação]]&lt;&gt;"Grupo",D100,Tabela2[[#This Row],[Categoria]])</f>
        <v>2.5 Despesas Financeiras / Bancos</v>
      </c>
    </row>
    <row r="102" spans="2:4" x14ac:dyDescent="0.25">
      <c r="B102" s="7" t="s">
        <v>68</v>
      </c>
      <c r="C102" s="7" t="s">
        <v>49</v>
      </c>
      <c r="D102" s="7" t="str">
        <f>IF(Tabela2[[#This Row],[Situação]]&lt;&gt;"Grupo",D101,Tabela2[[#This Row],[Categoria]])</f>
        <v>2.5 Despesas Financeiras / Bancos</v>
      </c>
    </row>
    <row r="103" spans="2:4" x14ac:dyDescent="0.25">
      <c r="B103" s="7" t="s">
        <v>68</v>
      </c>
      <c r="C103" s="7" t="s">
        <v>145</v>
      </c>
      <c r="D103" s="7" t="str">
        <f>IF(Tabela2[[#This Row],[Situação]]&lt;&gt;"Grupo",D102,Tabela2[[#This Row],[Categoria]])</f>
        <v>2.5 Despesas Financeiras / Bancos</v>
      </c>
    </row>
    <row r="104" spans="2:4" x14ac:dyDescent="0.25">
      <c r="B104" s="7" t="s">
        <v>66</v>
      </c>
      <c r="C104" s="7" t="s">
        <v>71</v>
      </c>
      <c r="D104" s="7" t="str">
        <f>IF(Tabela2[[#This Row],[Situação]]&lt;&gt;"Grupo",D103,Tabela2[[#This Row],[Categoria]])</f>
        <v>2.5 Despesas Financeiras / Bancos</v>
      </c>
    </row>
    <row r="105" spans="2:4" x14ac:dyDescent="0.25">
      <c r="B105" s="7" t="s">
        <v>65</v>
      </c>
      <c r="C105" s="7" t="s">
        <v>174</v>
      </c>
      <c r="D105" s="7" t="str">
        <f>IF(Tabela2[[#This Row],[Situação]]&lt;&gt;"Grupo",D104,Tabela2[[#This Row],[Categoria]])</f>
        <v>2.6 Impostos e Taxas</v>
      </c>
    </row>
    <row r="106" spans="2:4" x14ac:dyDescent="0.25">
      <c r="B106" s="7" t="s">
        <v>68</v>
      </c>
      <c r="C106" s="7" t="s">
        <v>146</v>
      </c>
      <c r="D106" s="7" t="str">
        <f>IF(Tabela2[[#This Row],[Situação]]&lt;&gt;"Grupo",D105,Tabela2[[#This Row],[Categoria]])</f>
        <v>2.6 Impostos e Taxas</v>
      </c>
    </row>
    <row r="107" spans="2:4" x14ac:dyDescent="0.25">
      <c r="B107" s="7" t="s">
        <v>68</v>
      </c>
      <c r="C107" s="7" t="s">
        <v>147</v>
      </c>
      <c r="D107" s="7" t="str">
        <f>IF(Tabela2[[#This Row],[Situação]]&lt;&gt;"Grupo",D106,Tabela2[[#This Row],[Categoria]])</f>
        <v>2.6 Impostos e Taxas</v>
      </c>
    </row>
    <row r="108" spans="2:4" x14ac:dyDescent="0.25">
      <c r="B108" s="7" t="s">
        <v>68</v>
      </c>
      <c r="C108" s="7" t="s">
        <v>148</v>
      </c>
      <c r="D108" s="7" t="str">
        <f>IF(Tabela2[[#This Row],[Situação]]&lt;&gt;"Grupo",D107,Tabela2[[#This Row],[Categoria]])</f>
        <v>2.6 Impostos e Taxas</v>
      </c>
    </row>
    <row r="109" spans="2:4" x14ac:dyDescent="0.25">
      <c r="B109" s="7" t="s">
        <v>68</v>
      </c>
      <c r="C109" s="7" t="s">
        <v>149</v>
      </c>
      <c r="D109" s="7" t="str">
        <f>IF(Tabela2[[#This Row],[Situação]]&lt;&gt;"Grupo",D108,Tabela2[[#This Row],[Categoria]])</f>
        <v>2.6 Impostos e Taxas</v>
      </c>
    </row>
    <row r="110" spans="2:4" x14ac:dyDescent="0.25">
      <c r="B110" s="7" t="s">
        <v>68</v>
      </c>
      <c r="C110" s="7" t="s">
        <v>150</v>
      </c>
      <c r="D110" s="7" t="str">
        <f>IF(Tabela2[[#This Row],[Situação]]&lt;&gt;"Grupo",D109,Tabela2[[#This Row],[Categoria]])</f>
        <v>2.6 Impostos e Taxas</v>
      </c>
    </row>
    <row r="111" spans="2:4" x14ac:dyDescent="0.25">
      <c r="B111" s="7" t="s">
        <v>68</v>
      </c>
      <c r="C111" s="7" t="s">
        <v>151</v>
      </c>
      <c r="D111" s="7" t="str">
        <f>IF(Tabela2[[#This Row],[Situação]]&lt;&gt;"Grupo",D110,Tabela2[[#This Row],[Categoria]])</f>
        <v>2.6 Impostos e Taxas</v>
      </c>
    </row>
    <row r="112" spans="2:4" x14ac:dyDescent="0.25">
      <c r="B112" s="7" t="s">
        <v>68</v>
      </c>
      <c r="C112" s="7" t="s">
        <v>152</v>
      </c>
      <c r="D112" s="7" t="str">
        <f>IF(Tabela2[[#This Row],[Situação]]&lt;&gt;"Grupo",D111,Tabela2[[#This Row],[Categoria]])</f>
        <v>2.6 Impostos e Taxas</v>
      </c>
    </row>
    <row r="113" spans="2:4" x14ac:dyDescent="0.25">
      <c r="B113" s="7" t="s">
        <v>68</v>
      </c>
      <c r="C113" s="7" t="s">
        <v>153</v>
      </c>
      <c r="D113" s="7" t="str">
        <f>IF(Tabela2[[#This Row],[Situação]]&lt;&gt;"Grupo",D112,Tabela2[[#This Row],[Categoria]])</f>
        <v>2.6 Impostos e Taxas</v>
      </c>
    </row>
    <row r="114" spans="2:4" x14ac:dyDescent="0.25">
      <c r="B114" s="7" t="s">
        <v>68</v>
      </c>
      <c r="C114" s="7" t="s">
        <v>154</v>
      </c>
      <c r="D114" s="7" t="str">
        <f>IF(Tabela2[[#This Row],[Situação]]&lt;&gt;"Grupo",D113,Tabela2[[#This Row],[Categoria]])</f>
        <v>2.6 Impostos e Taxas</v>
      </c>
    </row>
    <row r="115" spans="2:4" x14ac:dyDescent="0.25">
      <c r="B115" s="7" t="s">
        <v>66</v>
      </c>
      <c r="C115" s="7" t="s">
        <v>71</v>
      </c>
      <c r="D115" s="7" t="str">
        <f>IF(Tabela2[[#This Row],[Situação]]&lt;&gt;"Grupo",D114,Tabela2[[#This Row],[Categoria]])</f>
        <v>2.6 Impostos e Taxas</v>
      </c>
    </row>
    <row r="116" spans="2:4" x14ac:dyDescent="0.25">
      <c r="B116" s="7" t="s">
        <v>65</v>
      </c>
      <c r="C116" s="7" t="s">
        <v>175</v>
      </c>
      <c r="D116" s="7" t="str">
        <f>IF(Tabela2[[#This Row],[Situação]]&lt;&gt;"Grupo",D115,Tabela2[[#This Row],[Categoria]])</f>
        <v>2.7 Investimento</v>
      </c>
    </row>
    <row r="117" spans="2:4" x14ac:dyDescent="0.25">
      <c r="B117" s="7" t="s">
        <v>68</v>
      </c>
      <c r="C117" s="7" t="s">
        <v>155</v>
      </c>
      <c r="D117" s="7" t="str">
        <f>IF(Tabela2[[#This Row],[Situação]]&lt;&gt;"Grupo",D116,Tabela2[[#This Row],[Categoria]])</f>
        <v>2.7 Investimento</v>
      </c>
    </row>
    <row r="118" spans="2:4" x14ac:dyDescent="0.25">
      <c r="B118" s="7" t="s">
        <v>68</v>
      </c>
      <c r="C118" s="7" t="s">
        <v>156</v>
      </c>
      <c r="D118" s="7" t="str">
        <f>IF(Tabela2[[#This Row],[Situação]]&lt;&gt;"Grupo",D117,Tabela2[[#This Row],[Categoria]])</f>
        <v>2.7 Investimento</v>
      </c>
    </row>
    <row r="119" spans="2:4" x14ac:dyDescent="0.25">
      <c r="B119" s="7" t="s">
        <v>68</v>
      </c>
      <c r="C119" s="7" t="s">
        <v>157</v>
      </c>
      <c r="D119" s="7" t="str">
        <f>IF(Tabela2[[#This Row],[Situação]]&lt;&gt;"Grupo",D118,Tabela2[[#This Row],[Categoria]])</f>
        <v>2.7 Investimento</v>
      </c>
    </row>
    <row r="120" spans="2:4" x14ac:dyDescent="0.25">
      <c r="B120" s="7" t="s">
        <v>68</v>
      </c>
      <c r="C120" s="7" t="s">
        <v>158</v>
      </c>
      <c r="D120" s="7" t="str">
        <f>IF(Tabela2[[#This Row],[Situação]]&lt;&gt;"Grupo",D119,Tabela2[[#This Row],[Categoria]])</f>
        <v>2.7 Investimento</v>
      </c>
    </row>
    <row r="121" spans="2:4" x14ac:dyDescent="0.25">
      <c r="B121" s="7" t="s">
        <v>68</v>
      </c>
      <c r="C121" s="7" t="s">
        <v>159</v>
      </c>
      <c r="D121" s="7" t="str">
        <f>IF(Tabela2[[#This Row],[Situação]]&lt;&gt;"Grupo",D120,Tabela2[[#This Row],[Categoria]])</f>
        <v>2.7 Investimento</v>
      </c>
    </row>
    <row r="122" spans="2:4" x14ac:dyDescent="0.25">
      <c r="B122" s="7" t="s">
        <v>68</v>
      </c>
      <c r="C122" s="7" t="s">
        <v>160</v>
      </c>
      <c r="D122" s="7" t="str">
        <f>IF(Tabela2[[#This Row],[Situação]]&lt;&gt;"Grupo",D121,Tabela2[[#This Row],[Categoria]])</f>
        <v>2.7 Investimento</v>
      </c>
    </row>
    <row r="123" spans="2:4" x14ac:dyDescent="0.25">
      <c r="B123" s="7" t="s">
        <v>66</v>
      </c>
      <c r="C123" s="7" t="s">
        <v>71</v>
      </c>
      <c r="D123" s="7" t="str">
        <f>IF(Tabela2[[#This Row],[Situação]]&lt;&gt;"Grupo",D122,Tabela2[[#This Row],[Categoria]])</f>
        <v>2.7 Investimento</v>
      </c>
    </row>
    <row r="124" spans="2:4" x14ac:dyDescent="0.25">
      <c r="B124" s="7" t="s">
        <v>65</v>
      </c>
      <c r="C124" s="7" t="s">
        <v>176</v>
      </c>
      <c r="D124" s="7" t="str">
        <f>IF(Tabela2[[#This Row],[Situação]]&lt;&gt;"Grupo",D123,Tabela2[[#This Row],[Categoria]])</f>
        <v>2.8 Outras Despesas</v>
      </c>
    </row>
    <row r="125" spans="2:4" x14ac:dyDescent="0.25">
      <c r="B125" s="7" t="s">
        <v>68</v>
      </c>
      <c r="C125" s="7" t="s">
        <v>57</v>
      </c>
      <c r="D125" s="7" t="str">
        <f>IF(Tabela2[[#This Row],[Situação]]&lt;&gt;"Grupo",D124,Tabela2[[#This Row],[Categoria]])</f>
        <v>2.8 Outras Despesas</v>
      </c>
    </row>
    <row r="126" spans="2:4" x14ac:dyDescent="0.25">
      <c r="B126" s="7" t="s">
        <v>66</v>
      </c>
      <c r="C126" s="7" t="s">
        <v>161</v>
      </c>
      <c r="D126" s="7" t="str">
        <f>IF(Tabela2[[#This Row],[Situação]]&lt;&gt;"Grupo",D125,Tabela2[[#This Row],[Categoria]])</f>
        <v>2.8 Outras Despesas</v>
      </c>
    </row>
    <row r="127" spans="2:4" x14ac:dyDescent="0.25">
      <c r="B127" s="7" t="s">
        <v>68</v>
      </c>
      <c r="C127" s="7" t="s">
        <v>230</v>
      </c>
      <c r="D127" s="7" t="str">
        <f>IF(Tabela2[[#This Row],[Situação]]&lt;&gt;"Grupo",D126,Tabela2[[#This Row],[Categoria]])</f>
        <v>2.8 Outras Despesas</v>
      </c>
    </row>
    <row r="128" spans="2:4" x14ac:dyDescent="0.25">
      <c r="B128" s="7" t="s">
        <v>68</v>
      </c>
      <c r="C128" s="7" t="s">
        <v>231</v>
      </c>
      <c r="D128" s="7" t="str">
        <f>IF(Tabela2[[#This Row],[Situação]]&lt;&gt;"Grupo",D127,Tabela2[[#This Row],[Categoria]])</f>
        <v>2.8 Outras Despesas</v>
      </c>
    </row>
    <row r="129" spans="2:4" x14ac:dyDescent="0.25">
      <c r="B129" s="7" t="s">
        <v>66</v>
      </c>
      <c r="C129" s="7" t="s">
        <v>71</v>
      </c>
      <c r="D129" s="7" t="str">
        <f>IF(Tabela2[[#This Row],[Situação]]&lt;&gt;"Grupo",D126,Tabela2[[#This Row],[Categoria]])</f>
        <v>2.8 Outras Despesas</v>
      </c>
    </row>
    <row r="130" spans="2:4" x14ac:dyDescent="0.25">
      <c r="B130" s="7" t="s">
        <v>65</v>
      </c>
      <c r="C130" s="7" t="s">
        <v>177</v>
      </c>
      <c r="D130" s="7" t="str">
        <f>IF(Tabela2[[#This Row],[Situação]]&lt;&gt;"Grupo",D129,Tabela2[[#This Row],[Categoria]])</f>
        <v>2.9 Devoluções de Vendas</v>
      </c>
    </row>
    <row r="131" spans="2:4" x14ac:dyDescent="0.25">
      <c r="B131" s="7" t="s">
        <v>68</v>
      </c>
      <c r="C131" s="7" t="s">
        <v>162</v>
      </c>
      <c r="D131" s="7" t="str">
        <f>IF(Tabela2[[#This Row],[Situação]]&lt;&gt;"Grupo",D130,Tabela2[[#This Row],[Categoria]])</f>
        <v>2.9 Devoluções de Vendas</v>
      </c>
    </row>
    <row r="132" spans="2:4" x14ac:dyDescent="0.25">
      <c r="B132" s="7" t="s">
        <v>68</v>
      </c>
      <c r="C132" s="7" t="s">
        <v>163</v>
      </c>
      <c r="D132" s="7" t="str">
        <f>IF(Tabela2[[#This Row],[Situação]]&lt;&gt;"Grupo",D131,Tabela2[[#This Row],[Categoria]])</f>
        <v>2.9 Devoluções de Vendas</v>
      </c>
    </row>
    <row r="133" spans="2:4" x14ac:dyDescent="0.25">
      <c r="B133" s="7" t="s">
        <v>66</v>
      </c>
      <c r="C133" s="7" t="s">
        <v>71</v>
      </c>
      <c r="D133" s="7" t="str">
        <f>IF(Tabela2[[#This Row],[Situação]]&lt;&gt;"Grupo",D132,Tabela2[[#This Row],[Categoria]])</f>
        <v>2.9 Devoluções de Vendas</v>
      </c>
    </row>
    <row r="134" spans="2:4" x14ac:dyDescent="0.25">
      <c r="B134" s="7" t="s">
        <v>65</v>
      </c>
      <c r="C134" s="7" t="s">
        <v>164</v>
      </c>
      <c r="D134" s="7" t="str">
        <f>IF(Tabela2[[#This Row],[Situação]]&lt;&gt;"Grupo",D133,Tabela2[[#This Row],[Categoria]])</f>
        <v>&lt;Incluir novo grupo de Despesa&gt;</v>
      </c>
    </row>
    <row r="135" spans="2:4" x14ac:dyDescent="0.25">
      <c r="B135" s="7" t="s">
        <v>65</v>
      </c>
      <c r="C135" s="7" t="s">
        <v>305</v>
      </c>
      <c r="D135" s="7" t="str">
        <f>IF(Tabela2[[#This Row],[Situação]]&lt;&gt;"Grupo",D134,Tabela2[[#This Row],[Categoria]])</f>
        <v>99 Transferências</v>
      </c>
    </row>
    <row r="136" spans="2:4" x14ac:dyDescent="0.25">
      <c r="B136" s="7" t="s">
        <v>68</v>
      </c>
      <c r="C136" s="7" t="s">
        <v>255</v>
      </c>
      <c r="D136" s="7" t="str">
        <f>IF(Tabela2[[#This Row],[Situação]]&lt;&gt;"Grupo",D135,Tabela2[[#This Row],[Categoria]])</f>
        <v>99 Transferências</v>
      </c>
    </row>
    <row r="137" spans="2:4" x14ac:dyDescent="0.25">
      <c r="B137" s="7" t="s">
        <v>68</v>
      </c>
      <c r="C137" s="7" t="s">
        <v>250</v>
      </c>
      <c r="D137" s="7" t="str">
        <f>IF(Tabela2[[#This Row],[Situação]]&lt;&gt;"Grupo",D136,Tabela2[[#This Row],[Categoria]])</f>
        <v>99 Transferências</v>
      </c>
    </row>
    <row r="138" spans="2:4" x14ac:dyDescent="0.25">
      <c r="B138" s="7" t="s">
        <v>68</v>
      </c>
      <c r="C138" s="7" t="s">
        <v>260</v>
      </c>
      <c r="D138" s="7" t="str">
        <f>IF(Tabela2[[#This Row],[Situação]]&lt;&gt;"Grupo",D137,Tabela2[[#This Row],[Categoria]])</f>
        <v>99 Transferências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2784-6636-4BF8-87DE-A45BBDCED522}">
  <dimension ref="B1:T689"/>
  <sheetViews>
    <sheetView showGridLines="0" topLeftCell="E643" zoomScale="90" zoomScaleNormal="90" workbookViewId="0">
      <selection activeCell="L4" sqref="L4:L668"/>
    </sheetView>
  </sheetViews>
  <sheetFormatPr defaultRowHeight="15" x14ac:dyDescent="0.25"/>
  <cols>
    <col min="1" max="1" width="8.85546875" customWidth="1"/>
    <col min="2" max="2" width="35.140625" style="1" customWidth="1"/>
    <col min="3" max="3" width="34.7109375" style="1" customWidth="1"/>
    <col min="4" max="4" width="27.5703125" style="1" customWidth="1"/>
    <col min="5" max="5" width="27.7109375" style="1" customWidth="1"/>
    <col min="6" max="6" width="28.7109375" style="1" bestFit="1" customWidth="1"/>
    <col min="7" max="7" width="12" customWidth="1"/>
    <col min="8" max="8" width="12.7109375" customWidth="1"/>
    <col min="9" max="9" width="13.5703125" customWidth="1"/>
    <col min="10" max="10" width="17.7109375" style="30" bestFit="1" customWidth="1"/>
    <col min="11" max="11" width="20.5703125" style="30" bestFit="1" customWidth="1"/>
    <col min="12" max="12" width="20.140625" style="30" customWidth="1"/>
    <col min="13" max="13" width="16.5703125" customWidth="1"/>
    <col min="14" max="14" width="15.5703125" customWidth="1"/>
    <col min="15" max="15" width="22.42578125" customWidth="1"/>
    <col min="16" max="16" width="14.42578125" customWidth="1"/>
    <col min="17" max="17" width="11.7109375" bestFit="1" customWidth="1"/>
    <col min="18" max="18" width="23.85546875" customWidth="1"/>
    <col min="19" max="19" width="20.42578125" customWidth="1"/>
    <col min="20" max="20" width="33.85546875" bestFit="1" customWidth="1"/>
  </cols>
  <sheetData>
    <row r="1" spans="2:20" hidden="1" x14ac:dyDescent="0.25">
      <c r="F1" s="30"/>
      <c r="G1" s="30"/>
      <c r="H1" s="32"/>
      <c r="L1" s="30">
        <f>-145080/512</f>
        <v>-283.359375</v>
      </c>
    </row>
    <row r="2" spans="2:20" hidden="1" x14ac:dyDescent="0.25">
      <c r="G2" s="30"/>
      <c r="J2" s="1"/>
      <c r="M2" s="19"/>
      <c r="N2" s="19"/>
    </row>
    <row r="3" spans="2:20" x14ac:dyDescent="0.25">
      <c r="B3" s="1" t="s">
        <v>0</v>
      </c>
      <c r="C3" s="1" t="s">
        <v>1</v>
      </c>
      <c r="D3" s="1" t="s">
        <v>2</v>
      </c>
      <c r="E3" s="1" t="s">
        <v>3</v>
      </c>
      <c r="F3" s="35" t="s">
        <v>4</v>
      </c>
      <c r="G3" t="s">
        <v>5</v>
      </c>
      <c r="H3" t="s">
        <v>6</v>
      </c>
      <c r="I3" t="s">
        <v>7</v>
      </c>
      <c r="J3" s="31" t="s">
        <v>8</v>
      </c>
      <c r="K3" s="31" t="s">
        <v>9</v>
      </c>
      <c r="L3" s="37" t="s">
        <v>10</v>
      </c>
      <c r="M3" t="s">
        <v>11</v>
      </c>
      <c r="N3" t="s">
        <v>12</v>
      </c>
      <c r="O3" s="36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178</v>
      </c>
    </row>
    <row r="4" spans="2:20" x14ac:dyDescent="0.25">
      <c r="D4" s="1">
        <v>46097</v>
      </c>
      <c r="E4" s="1">
        <v>46097</v>
      </c>
      <c r="F4" s="17">
        <v>46099</v>
      </c>
      <c r="G4" t="s">
        <v>232</v>
      </c>
      <c r="H4" t="s">
        <v>19</v>
      </c>
      <c r="I4" t="s">
        <v>255</v>
      </c>
      <c r="J4" s="30">
        <v>144000</v>
      </c>
      <c r="K4" s="30">
        <v>4166.99</v>
      </c>
      <c r="L4" s="33">
        <v>139833.01</v>
      </c>
      <c r="M4" t="s">
        <v>238</v>
      </c>
      <c r="N4" t="s">
        <v>22</v>
      </c>
      <c r="O4" s="34" t="s">
        <v>256</v>
      </c>
      <c r="P4" t="s">
        <v>223</v>
      </c>
      <c r="Q4" t="s">
        <v>23</v>
      </c>
      <c r="R4" t="s">
        <v>23</v>
      </c>
      <c r="S4" t="s">
        <v>25</v>
      </c>
      <c r="T4" t="str">
        <f>_xlfn.XLOOKUP(Tabela14[[#This Row],[Categoria]],CATEGORIAS!$C:$C,CATEGORIAS!$D:$D,"")</f>
        <v>99 Transferências</v>
      </c>
    </row>
    <row r="5" spans="2:20" x14ac:dyDescent="0.25">
      <c r="D5" s="1">
        <v>46094</v>
      </c>
      <c r="E5" s="1">
        <v>46094</v>
      </c>
      <c r="F5" s="17">
        <v>46099</v>
      </c>
      <c r="G5" t="s">
        <v>40</v>
      </c>
      <c r="H5" t="s">
        <v>19</v>
      </c>
      <c r="I5" t="s">
        <v>20</v>
      </c>
      <c r="J5" s="30">
        <v>4100</v>
      </c>
      <c r="K5" s="30">
        <v>0</v>
      </c>
      <c r="L5" s="33">
        <v>4100</v>
      </c>
      <c r="M5" t="s">
        <v>21</v>
      </c>
      <c r="N5" t="s">
        <v>22</v>
      </c>
      <c r="O5" s="34" t="s">
        <v>50</v>
      </c>
      <c r="P5" t="s">
        <v>223</v>
      </c>
      <c r="Q5" t="s">
        <v>23</v>
      </c>
      <c r="R5" t="s">
        <v>23</v>
      </c>
      <c r="S5" t="s">
        <v>25</v>
      </c>
      <c r="T5" t="str">
        <f>_xlfn.XLOOKUP(Tabela14[[#This Row],[Categoria]],CATEGORIAS!$C:$C,CATEGORIAS!$D:$D,"")</f>
        <v>1.4 Outras Entradas</v>
      </c>
    </row>
    <row r="6" spans="2:20" x14ac:dyDescent="0.25">
      <c r="D6" s="1">
        <v>46097</v>
      </c>
      <c r="E6" s="1">
        <v>46097</v>
      </c>
      <c r="F6" s="17">
        <v>46099</v>
      </c>
      <c r="G6" t="s">
        <v>232</v>
      </c>
      <c r="H6" t="s">
        <v>19</v>
      </c>
      <c r="I6" t="s">
        <v>255</v>
      </c>
      <c r="J6" s="30">
        <v>2595.6</v>
      </c>
      <c r="K6" s="30">
        <v>0</v>
      </c>
      <c r="L6" s="33">
        <v>2595.6</v>
      </c>
      <c r="M6" t="s">
        <v>238</v>
      </c>
      <c r="N6" t="s">
        <v>22</v>
      </c>
      <c r="O6" s="34" t="s">
        <v>297</v>
      </c>
      <c r="P6" t="s">
        <v>223</v>
      </c>
      <c r="Q6" t="s">
        <v>23</v>
      </c>
      <c r="R6" t="s">
        <v>23</v>
      </c>
      <c r="S6" t="s">
        <v>25</v>
      </c>
      <c r="T6" t="str">
        <f>_xlfn.XLOOKUP(Tabela14[[#This Row],[Categoria]],CATEGORIAS!$C:$C,CATEGORIAS!$D:$D,"")</f>
        <v>99 Transferências</v>
      </c>
    </row>
    <row r="7" spans="2:20" x14ac:dyDescent="0.25">
      <c r="D7" s="1">
        <v>46136</v>
      </c>
      <c r="E7" s="1">
        <v>46136</v>
      </c>
      <c r="F7" s="17">
        <v>46120</v>
      </c>
      <c r="G7" t="s">
        <v>242</v>
      </c>
      <c r="H7" t="s">
        <v>27</v>
      </c>
      <c r="I7" t="s">
        <v>49</v>
      </c>
      <c r="J7" s="31">
        <v>-14716.35</v>
      </c>
      <c r="K7" s="31">
        <v>0</v>
      </c>
      <c r="L7" s="33">
        <v>-14716.35</v>
      </c>
      <c r="M7" t="s">
        <v>185</v>
      </c>
      <c r="N7" t="s">
        <v>22</v>
      </c>
      <c r="O7" s="34" t="s">
        <v>317</v>
      </c>
      <c r="P7" t="s">
        <v>187</v>
      </c>
      <c r="Q7" t="s">
        <v>23</v>
      </c>
      <c r="R7" t="s">
        <v>23</v>
      </c>
      <c r="S7" t="s">
        <v>25</v>
      </c>
      <c r="T7" t="str">
        <f>_xlfn.XLOOKUP(Tabela14[[#This Row],[Categoria]],CATEGORIAS!$C:$C,CATEGORIAS!$D:$D,"")</f>
        <v>2.5 Despesas Financeiras / Bancos</v>
      </c>
    </row>
    <row r="8" spans="2:20" x14ac:dyDescent="0.25">
      <c r="D8" s="1">
        <v>46136</v>
      </c>
      <c r="E8" s="1">
        <v>46136</v>
      </c>
      <c r="F8" s="17">
        <v>46113</v>
      </c>
      <c r="G8" t="s">
        <v>268</v>
      </c>
      <c r="H8" t="s">
        <v>27</v>
      </c>
      <c r="I8" t="s">
        <v>49</v>
      </c>
      <c r="J8" s="31">
        <v>-9000</v>
      </c>
      <c r="K8" s="30">
        <v>0</v>
      </c>
      <c r="L8" s="33">
        <v>-9000</v>
      </c>
      <c r="M8" t="s">
        <v>185</v>
      </c>
      <c r="N8" t="s">
        <v>22</v>
      </c>
      <c r="O8" s="34" t="s">
        <v>318</v>
      </c>
      <c r="P8" t="s">
        <v>187</v>
      </c>
      <c r="Q8" t="s">
        <v>23</v>
      </c>
      <c r="R8" t="s">
        <v>23</v>
      </c>
      <c r="S8" t="s">
        <v>25</v>
      </c>
      <c r="T8" t="str">
        <f>_xlfn.XLOOKUP(Tabela14[[#This Row],[Categoria]],CATEGORIAS!$C:$C,CATEGORIAS!$D:$D,"")</f>
        <v>2.5 Despesas Financeiras / Bancos</v>
      </c>
    </row>
    <row r="9" spans="2:20" x14ac:dyDescent="0.25">
      <c r="D9" s="1">
        <v>46094</v>
      </c>
      <c r="E9" s="1">
        <v>46094</v>
      </c>
      <c r="F9" s="17">
        <v>46129</v>
      </c>
      <c r="G9" t="s">
        <v>18</v>
      </c>
      <c r="H9" t="s">
        <v>27</v>
      </c>
      <c r="I9" t="s">
        <v>49</v>
      </c>
      <c r="J9" s="31">
        <v>-30000</v>
      </c>
      <c r="K9" s="31">
        <v>0</v>
      </c>
      <c r="L9" s="33">
        <v>-30000</v>
      </c>
      <c r="M9" t="s">
        <v>212</v>
      </c>
      <c r="N9" t="s">
        <v>22</v>
      </c>
      <c r="O9" s="34" t="s">
        <v>302</v>
      </c>
      <c r="P9" t="s">
        <v>187</v>
      </c>
      <c r="Q9" t="s">
        <v>23</v>
      </c>
      <c r="R9" t="s">
        <v>23</v>
      </c>
      <c r="S9" t="s">
        <v>25</v>
      </c>
      <c r="T9" t="str">
        <f>_xlfn.XLOOKUP(Tabela14[[#This Row],[Categoria]],CATEGORIAS!$C:$C,CATEGORIAS!$D:$D,"")</f>
        <v>2.5 Despesas Financeiras / Bancos</v>
      </c>
    </row>
    <row r="10" spans="2:20" x14ac:dyDescent="0.25">
      <c r="D10" s="1">
        <v>46166</v>
      </c>
      <c r="E10" s="1">
        <v>46166</v>
      </c>
      <c r="F10" s="17">
        <v>46150</v>
      </c>
      <c r="G10" t="s">
        <v>242</v>
      </c>
      <c r="H10" t="s">
        <v>27</v>
      </c>
      <c r="I10" t="s">
        <v>49</v>
      </c>
      <c r="J10" s="31">
        <v>-14716.35</v>
      </c>
      <c r="K10" s="31">
        <v>0</v>
      </c>
      <c r="L10" s="33">
        <v>-14716.35</v>
      </c>
      <c r="M10" t="s">
        <v>185</v>
      </c>
      <c r="N10" t="s">
        <v>22</v>
      </c>
      <c r="O10" s="34" t="s">
        <v>317</v>
      </c>
      <c r="P10" t="s">
        <v>213</v>
      </c>
      <c r="Q10" t="s">
        <v>23</v>
      </c>
      <c r="R10" t="s">
        <v>23</v>
      </c>
      <c r="S10" t="s">
        <v>25</v>
      </c>
      <c r="T10" t="str">
        <f>_xlfn.XLOOKUP(Tabela14[[#This Row],[Categoria]],CATEGORIAS!$C:$C,CATEGORIAS!$D:$D,"")</f>
        <v>2.5 Despesas Financeiras / Bancos</v>
      </c>
    </row>
    <row r="11" spans="2:20" x14ac:dyDescent="0.25">
      <c r="D11" s="1">
        <v>46094</v>
      </c>
      <c r="E11" s="1">
        <v>46094</v>
      </c>
      <c r="F11" s="17">
        <v>46159</v>
      </c>
      <c r="G11" t="s">
        <v>18</v>
      </c>
      <c r="H11" t="s">
        <v>27</v>
      </c>
      <c r="I11" t="s">
        <v>49</v>
      </c>
      <c r="J11" s="31">
        <v>-30000</v>
      </c>
      <c r="K11" s="31">
        <v>0</v>
      </c>
      <c r="L11" s="33">
        <v>-30000</v>
      </c>
      <c r="M11" t="s">
        <v>212</v>
      </c>
      <c r="N11" t="s">
        <v>22</v>
      </c>
      <c r="O11" s="34" t="s">
        <v>302</v>
      </c>
      <c r="P11" t="s">
        <v>213</v>
      </c>
      <c r="Q11" t="s">
        <v>23</v>
      </c>
      <c r="R11" t="s">
        <v>23</v>
      </c>
      <c r="S11" t="s">
        <v>25</v>
      </c>
      <c r="T11" t="str">
        <f>_xlfn.XLOOKUP(Tabela14[[#This Row],[Categoria]],CATEGORIAS!$C:$C,CATEGORIAS!$D:$D,"")</f>
        <v>2.5 Despesas Financeiras / Bancos</v>
      </c>
    </row>
    <row r="12" spans="2:20" x14ac:dyDescent="0.25">
      <c r="D12" s="1">
        <v>46166</v>
      </c>
      <c r="E12" s="1">
        <v>46166</v>
      </c>
      <c r="F12" s="17">
        <v>46143</v>
      </c>
      <c r="G12" t="s">
        <v>268</v>
      </c>
      <c r="H12" t="s">
        <v>27</v>
      </c>
      <c r="I12" t="s">
        <v>49</v>
      </c>
      <c r="J12" s="30">
        <v>-9600</v>
      </c>
      <c r="K12" s="30">
        <v>0</v>
      </c>
      <c r="L12" s="33">
        <v>-9600</v>
      </c>
      <c r="M12" t="s">
        <v>185</v>
      </c>
      <c r="N12" t="s">
        <v>22</v>
      </c>
      <c r="O12" s="34" t="s">
        <v>318</v>
      </c>
      <c r="P12" t="s">
        <v>213</v>
      </c>
      <c r="Q12" t="s">
        <v>23</v>
      </c>
      <c r="R12" t="s">
        <v>23</v>
      </c>
      <c r="S12" t="s">
        <v>25</v>
      </c>
      <c r="T12" t="str">
        <f>_xlfn.XLOOKUP(Tabela14[[#This Row],[Categoria]],CATEGORIAS!$C:$C,CATEGORIAS!$D:$D,"")</f>
        <v>2.5 Despesas Financeiras / Bancos</v>
      </c>
    </row>
    <row r="13" spans="2:20" x14ac:dyDescent="0.25">
      <c r="D13" s="1">
        <v>46197</v>
      </c>
      <c r="E13" s="1">
        <v>46197</v>
      </c>
      <c r="F13" s="17">
        <v>46181</v>
      </c>
      <c r="G13" t="s">
        <v>242</v>
      </c>
      <c r="H13" t="s">
        <v>27</v>
      </c>
      <c r="I13" t="s">
        <v>49</v>
      </c>
      <c r="J13" s="30">
        <v>-14716.35</v>
      </c>
      <c r="K13" s="30">
        <v>0</v>
      </c>
      <c r="L13" s="33">
        <v>-14716.35</v>
      </c>
      <c r="M13" t="s">
        <v>185</v>
      </c>
      <c r="N13" t="s">
        <v>22</v>
      </c>
      <c r="O13" s="34" t="s">
        <v>317</v>
      </c>
      <c r="P13" t="s">
        <v>213</v>
      </c>
      <c r="Q13" t="s">
        <v>23</v>
      </c>
      <c r="R13" t="s">
        <v>23</v>
      </c>
      <c r="S13" t="s">
        <v>25</v>
      </c>
      <c r="T13" t="str">
        <f>_xlfn.XLOOKUP(Tabela14[[#This Row],[Categoria]],CATEGORIAS!$C:$C,CATEGORIAS!$D:$D,"")</f>
        <v>2.5 Despesas Financeiras / Bancos</v>
      </c>
    </row>
    <row r="14" spans="2:20" x14ac:dyDescent="0.25">
      <c r="D14" s="1">
        <v>46097</v>
      </c>
      <c r="E14" s="1">
        <v>46097</v>
      </c>
      <c r="F14" s="17">
        <v>46169</v>
      </c>
      <c r="G14" t="s">
        <v>18</v>
      </c>
      <c r="H14" t="s">
        <v>27</v>
      </c>
      <c r="I14" t="s">
        <v>49</v>
      </c>
      <c r="J14" s="30">
        <v>-19006.150000000001</v>
      </c>
      <c r="K14" s="30">
        <v>0</v>
      </c>
      <c r="L14" s="33">
        <v>-19006.150000000001</v>
      </c>
      <c r="M14" t="s">
        <v>212</v>
      </c>
      <c r="N14" t="s">
        <v>22</v>
      </c>
      <c r="O14" s="34" t="s">
        <v>303</v>
      </c>
      <c r="P14" t="s">
        <v>187</v>
      </c>
      <c r="Q14" t="s">
        <v>23</v>
      </c>
      <c r="R14" t="s">
        <v>23</v>
      </c>
      <c r="S14" t="s">
        <v>25</v>
      </c>
      <c r="T14" t="str">
        <f>_xlfn.XLOOKUP(Tabela14[[#This Row],[Categoria]],CATEGORIAS!$C:$C,CATEGORIAS!$D:$D,"")</f>
        <v>2.5 Despesas Financeiras / Bancos</v>
      </c>
    </row>
    <row r="15" spans="2:20" x14ac:dyDescent="0.25">
      <c r="D15" s="1">
        <v>46197</v>
      </c>
      <c r="E15" s="1">
        <v>46197</v>
      </c>
      <c r="F15" s="17">
        <v>46174</v>
      </c>
      <c r="G15" t="s">
        <v>268</v>
      </c>
      <c r="H15" t="s">
        <v>27</v>
      </c>
      <c r="I15" t="s">
        <v>49</v>
      </c>
      <c r="J15" s="30">
        <v>-9600</v>
      </c>
      <c r="K15" s="30">
        <v>0</v>
      </c>
      <c r="L15" s="33">
        <v>-9600</v>
      </c>
      <c r="M15" t="s">
        <v>185</v>
      </c>
      <c r="N15" t="s">
        <v>22</v>
      </c>
      <c r="O15" s="34" t="s">
        <v>318</v>
      </c>
      <c r="P15" t="s">
        <v>213</v>
      </c>
      <c r="Q15" t="s">
        <v>23</v>
      </c>
      <c r="R15" t="s">
        <v>23</v>
      </c>
      <c r="S15" t="s">
        <v>25</v>
      </c>
      <c r="T15" t="str">
        <f>_xlfn.XLOOKUP(Tabela14[[#This Row],[Categoria]],CATEGORIAS!$C:$C,CATEGORIAS!$D:$D,"")</f>
        <v>2.5 Despesas Financeiras / Bancos</v>
      </c>
    </row>
    <row r="16" spans="2:20" x14ac:dyDescent="0.25">
      <c r="D16" s="1">
        <v>46094</v>
      </c>
      <c r="E16" s="1">
        <v>46094</v>
      </c>
      <c r="F16" s="17">
        <v>46190</v>
      </c>
      <c r="G16" t="s">
        <v>18</v>
      </c>
      <c r="H16" t="s">
        <v>27</v>
      </c>
      <c r="I16" t="s">
        <v>49</v>
      </c>
      <c r="J16" s="30">
        <v>-30000</v>
      </c>
      <c r="K16" s="30">
        <v>0</v>
      </c>
      <c r="L16" s="33">
        <v>-30000</v>
      </c>
      <c r="M16" t="s">
        <v>212</v>
      </c>
      <c r="N16" t="s">
        <v>22</v>
      </c>
      <c r="O16" s="34" t="s">
        <v>302</v>
      </c>
      <c r="P16" t="s">
        <v>213</v>
      </c>
      <c r="Q16" t="s">
        <v>23</v>
      </c>
      <c r="R16" t="s">
        <v>23</v>
      </c>
      <c r="S16" t="s">
        <v>25</v>
      </c>
      <c r="T16" t="str">
        <f>_xlfn.XLOOKUP(Tabela14[[#This Row],[Categoria]],CATEGORIAS!$C:$C,CATEGORIAS!$D:$D,"")</f>
        <v>2.5 Despesas Financeiras / Bancos</v>
      </c>
    </row>
    <row r="17" spans="4:20" x14ac:dyDescent="0.25">
      <c r="D17" s="1">
        <v>46227</v>
      </c>
      <c r="E17" s="1">
        <v>46227</v>
      </c>
      <c r="F17" s="17">
        <v>46211</v>
      </c>
      <c r="G17" t="s">
        <v>242</v>
      </c>
      <c r="H17" t="s">
        <v>27</v>
      </c>
      <c r="I17" t="s">
        <v>49</v>
      </c>
      <c r="J17" s="30">
        <v>-214716.35</v>
      </c>
      <c r="K17" s="30">
        <v>0</v>
      </c>
      <c r="L17" s="33">
        <v>-214716.35</v>
      </c>
      <c r="M17" t="s">
        <v>185</v>
      </c>
      <c r="N17" t="s">
        <v>22</v>
      </c>
      <c r="O17" s="34" t="s">
        <v>317</v>
      </c>
      <c r="P17" t="s">
        <v>213</v>
      </c>
      <c r="Q17" t="s">
        <v>23</v>
      </c>
      <c r="R17" t="s">
        <v>23</v>
      </c>
      <c r="S17" t="s">
        <v>25</v>
      </c>
      <c r="T17" t="str">
        <f>_xlfn.XLOOKUP(Tabela14[[#This Row],[Categoria]],CATEGORIAS!$C:$C,CATEGORIAS!$D:$D,"")</f>
        <v>2.5 Despesas Financeiras / Bancos</v>
      </c>
    </row>
    <row r="18" spans="4:20" x14ac:dyDescent="0.25">
      <c r="D18" s="1">
        <v>46094</v>
      </c>
      <c r="E18" s="1">
        <v>46094</v>
      </c>
      <c r="F18" s="17">
        <v>46220</v>
      </c>
      <c r="G18" t="s">
        <v>18</v>
      </c>
      <c r="H18" t="s">
        <v>27</v>
      </c>
      <c r="I18" t="s">
        <v>49</v>
      </c>
      <c r="J18" s="30">
        <v>-30000</v>
      </c>
      <c r="K18" s="30">
        <v>0</v>
      </c>
      <c r="L18" s="33">
        <v>-30000</v>
      </c>
      <c r="M18" t="s">
        <v>212</v>
      </c>
      <c r="N18" t="s">
        <v>22</v>
      </c>
      <c r="O18" s="34" t="s">
        <v>302</v>
      </c>
      <c r="P18" t="s">
        <v>213</v>
      </c>
      <c r="Q18" t="s">
        <v>23</v>
      </c>
      <c r="R18" t="s">
        <v>23</v>
      </c>
      <c r="S18" t="s">
        <v>25</v>
      </c>
      <c r="T18" t="str">
        <f>_xlfn.XLOOKUP(Tabela14[[#This Row],[Categoria]],CATEGORIAS!$C:$C,CATEGORIAS!$D:$D,"")</f>
        <v>2.5 Despesas Financeiras / Bancos</v>
      </c>
    </row>
    <row r="19" spans="4:20" x14ac:dyDescent="0.25">
      <c r="D19" s="1">
        <v>46227</v>
      </c>
      <c r="E19" s="1">
        <v>46227</v>
      </c>
      <c r="F19" s="17">
        <v>46204</v>
      </c>
      <c r="G19" t="s">
        <v>268</v>
      </c>
      <c r="H19" t="s">
        <v>27</v>
      </c>
      <c r="I19" t="s">
        <v>49</v>
      </c>
      <c r="J19" s="30">
        <v>-129600</v>
      </c>
      <c r="K19" s="30">
        <v>0</v>
      </c>
      <c r="L19" s="33">
        <v>-129600</v>
      </c>
      <c r="M19" t="s">
        <v>185</v>
      </c>
      <c r="N19" t="s">
        <v>22</v>
      </c>
      <c r="O19" s="34" t="s">
        <v>318</v>
      </c>
      <c r="P19" t="s">
        <v>213</v>
      </c>
      <c r="Q19" t="s">
        <v>23</v>
      </c>
      <c r="R19" t="s">
        <v>23</v>
      </c>
      <c r="S19" t="s">
        <v>25</v>
      </c>
      <c r="T19" t="str">
        <f>_xlfn.XLOOKUP(Tabela14[[#This Row],[Categoria]],CATEGORIAS!$C:$C,CATEGORIAS!$D:$D,"")</f>
        <v>2.5 Despesas Financeiras / Bancos</v>
      </c>
    </row>
    <row r="20" spans="4:20" x14ac:dyDescent="0.25">
      <c r="D20" s="1">
        <v>46128</v>
      </c>
      <c r="E20" s="1">
        <v>46128</v>
      </c>
      <c r="F20" s="17">
        <v>46200</v>
      </c>
      <c r="G20" t="s">
        <v>18</v>
      </c>
      <c r="H20" t="s">
        <v>27</v>
      </c>
      <c r="I20" t="s">
        <v>49</v>
      </c>
      <c r="J20" s="30">
        <v>-19006.150000000001</v>
      </c>
      <c r="K20" s="30">
        <v>0</v>
      </c>
      <c r="L20" s="33">
        <v>-19006.150000000001</v>
      </c>
      <c r="M20" t="s">
        <v>212</v>
      </c>
      <c r="N20" t="s">
        <v>22</v>
      </c>
      <c r="O20" s="34" t="s">
        <v>303</v>
      </c>
      <c r="P20" t="s">
        <v>213</v>
      </c>
      <c r="Q20" t="s">
        <v>23</v>
      </c>
      <c r="R20" t="s">
        <v>23</v>
      </c>
      <c r="S20" t="s">
        <v>25</v>
      </c>
      <c r="T20" t="str">
        <f>_xlfn.XLOOKUP(Tabela14[[#This Row],[Categoria]],CATEGORIAS!$C:$C,CATEGORIAS!$D:$D,"")</f>
        <v>2.5 Despesas Financeiras / Bancos</v>
      </c>
    </row>
    <row r="21" spans="4:20" x14ac:dyDescent="0.25">
      <c r="D21" s="1">
        <v>46094</v>
      </c>
      <c r="E21" s="1">
        <v>46094</v>
      </c>
      <c r="F21" s="17">
        <v>46251</v>
      </c>
      <c r="G21" t="s">
        <v>18</v>
      </c>
      <c r="H21" t="s">
        <v>27</v>
      </c>
      <c r="I21" t="s">
        <v>49</v>
      </c>
      <c r="J21" s="30">
        <v>-30000</v>
      </c>
      <c r="K21" s="30">
        <v>0</v>
      </c>
      <c r="L21" s="33">
        <v>-30000</v>
      </c>
      <c r="M21" t="s">
        <v>212</v>
      </c>
      <c r="N21" t="s">
        <v>22</v>
      </c>
      <c r="O21" s="34" t="s">
        <v>302</v>
      </c>
      <c r="P21" t="s">
        <v>213</v>
      </c>
      <c r="Q21" t="s">
        <v>23</v>
      </c>
      <c r="R21" t="s">
        <v>23</v>
      </c>
      <c r="S21" t="s">
        <v>25</v>
      </c>
      <c r="T21" t="str">
        <f>_xlfn.XLOOKUP(Tabela14[[#This Row],[Categoria]],CATEGORIAS!$C:$C,CATEGORIAS!$D:$D,"")</f>
        <v>2.5 Despesas Financeiras / Bancos</v>
      </c>
    </row>
    <row r="22" spans="4:20" x14ac:dyDescent="0.25">
      <c r="D22" s="1">
        <v>46158</v>
      </c>
      <c r="E22" s="1">
        <v>46158</v>
      </c>
      <c r="F22" s="17">
        <v>46230</v>
      </c>
      <c r="G22" t="s">
        <v>18</v>
      </c>
      <c r="H22" t="s">
        <v>27</v>
      </c>
      <c r="I22" t="s">
        <v>49</v>
      </c>
      <c r="J22" s="30">
        <v>-280000</v>
      </c>
      <c r="K22" s="30">
        <v>0</v>
      </c>
      <c r="L22" s="33">
        <v>-280000</v>
      </c>
      <c r="M22" t="s">
        <v>212</v>
      </c>
      <c r="N22" t="s">
        <v>22</v>
      </c>
      <c r="O22" s="34" t="s">
        <v>303</v>
      </c>
      <c r="P22" t="s">
        <v>213</v>
      </c>
      <c r="Q22" t="s">
        <v>23</v>
      </c>
      <c r="R22" t="s">
        <v>23</v>
      </c>
      <c r="S22" t="s">
        <v>25</v>
      </c>
      <c r="T22" t="str">
        <f>_xlfn.XLOOKUP(Tabela14[[#This Row],[Categoria]],CATEGORIAS!$C:$C,CATEGORIAS!$D:$D,"")</f>
        <v>2.5 Despesas Financeiras / Bancos</v>
      </c>
    </row>
    <row r="23" spans="4:20" x14ac:dyDescent="0.25">
      <c r="D23" s="1">
        <v>46121</v>
      </c>
      <c r="E23" s="1">
        <v>46121</v>
      </c>
      <c r="F23" s="17">
        <v>46139</v>
      </c>
      <c r="G23" t="s">
        <v>184</v>
      </c>
      <c r="H23" t="s">
        <v>19</v>
      </c>
      <c r="I23" t="s">
        <v>69</v>
      </c>
      <c r="J23" s="30">
        <v>855077.76</v>
      </c>
      <c r="K23" s="30">
        <v>0</v>
      </c>
      <c r="L23" s="33">
        <v>855077.76</v>
      </c>
      <c r="M23" t="s">
        <v>185</v>
      </c>
      <c r="N23" t="s">
        <v>192</v>
      </c>
      <c r="O23" s="34" t="s">
        <v>23</v>
      </c>
      <c r="P23" t="s">
        <v>193</v>
      </c>
      <c r="Q23" t="s">
        <v>23</v>
      </c>
      <c r="R23" t="s">
        <v>23</v>
      </c>
      <c r="S23" t="s">
        <v>25</v>
      </c>
      <c r="T23" t="str">
        <f>_xlfn.XLOOKUP(Tabela14[[#This Row],[Categoria]],CATEGORIAS!$C:$C,CATEGORIAS!$D:$D,"")</f>
        <v>1.1 Receitas Diretas</v>
      </c>
    </row>
    <row r="24" spans="4:20" x14ac:dyDescent="0.25">
      <c r="D24" s="1">
        <v>46135</v>
      </c>
      <c r="E24" s="1">
        <v>46135</v>
      </c>
      <c r="F24" s="17">
        <v>46153</v>
      </c>
      <c r="G24" t="s">
        <v>184</v>
      </c>
      <c r="H24" t="s">
        <v>19</v>
      </c>
      <c r="I24" t="s">
        <v>69</v>
      </c>
      <c r="J24" s="31">
        <v>758705.11</v>
      </c>
      <c r="K24" s="31">
        <v>0</v>
      </c>
      <c r="L24" s="33">
        <v>758705.11</v>
      </c>
      <c r="M24" t="s">
        <v>185</v>
      </c>
      <c r="N24" t="s">
        <v>192</v>
      </c>
      <c r="O24" s="34" t="s">
        <v>23</v>
      </c>
      <c r="P24" t="s">
        <v>193</v>
      </c>
      <c r="Q24" t="s">
        <v>23</v>
      </c>
      <c r="R24" t="s">
        <v>23</v>
      </c>
      <c r="S24" t="s">
        <v>25</v>
      </c>
      <c r="T24" t="str">
        <f>_xlfn.XLOOKUP(Tabela14[[#This Row],[Categoria]],CATEGORIAS!$C:$C,CATEGORIAS!$D:$D,"")</f>
        <v>1.1 Receitas Diretas</v>
      </c>
    </row>
    <row r="25" spans="4:20" x14ac:dyDescent="0.25">
      <c r="D25" s="1">
        <v>46149</v>
      </c>
      <c r="E25" s="1">
        <v>46149</v>
      </c>
      <c r="F25" s="17">
        <v>46167</v>
      </c>
      <c r="G25" t="s">
        <v>184</v>
      </c>
      <c r="H25" t="s">
        <v>19</v>
      </c>
      <c r="I25" t="s">
        <v>69</v>
      </c>
      <c r="J25" s="30">
        <v>1110679.83</v>
      </c>
      <c r="K25" s="30">
        <v>0</v>
      </c>
      <c r="L25" s="33">
        <v>1185999.4099999999</v>
      </c>
      <c r="M25" t="s">
        <v>185</v>
      </c>
      <c r="N25" t="s">
        <v>192</v>
      </c>
      <c r="O25" s="34" t="s">
        <v>23</v>
      </c>
      <c r="P25" t="s">
        <v>193</v>
      </c>
      <c r="Q25" t="s">
        <v>23</v>
      </c>
      <c r="R25" t="s">
        <v>23</v>
      </c>
      <c r="S25" t="s">
        <v>25</v>
      </c>
      <c r="T25" t="str">
        <f>_xlfn.XLOOKUP(Tabela14[[#This Row],[Categoria]],CATEGORIAS!$C:$C,CATEGORIAS!$D:$D,"")</f>
        <v>1.1 Receitas Diretas</v>
      </c>
    </row>
    <row r="26" spans="4:20" x14ac:dyDescent="0.25">
      <c r="D26" s="1">
        <v>46163</v>
      </c>
      <c r="E26" s="1">
        <v>46163</v>
      </c>
      <c r="F26" s="17">
        <v>46181</v>
      </c>
      <c r="G26" t="s">
        <v>184</v>
      </c>
      <c r="H26" t="s">
        <v>19</v>
      </c>
      <c r="I26" t="s">
        <v>69</v>
      </c>
      <c r="J26" s="30">
        <v>1219493.52</v>
      </c>
      <c r="K26" s="30">
        <v>0</v>
      </c>
      <c r="L26" s="33">
        <v>1128269.93</v>
      </c>
      <c r="M26" t="s">
        <v>185</v>
      </c>
      <c r="N26" t="s">
        <v>192</v>
      </c>
      <c r="O26" s="34" t="s">
        <v>23</v>
      </c>
      <c r="P26" t="s">
        <v>193</v>
      </c>
      <c r="Q26" t="s">
        <v>23</v>
      </c>
      <c r="R26" t="s">
        <v>23</v>
      </c>
      <c r="S26" t="s">
        <v>25</v>
      </c>
      <c r="T26" t="str">
        <f>_xlfn.XLOOKUP(Tabela14[[#This Row],[Categoria]],CATEGORIAS!$C:$C,CATEGORIAS!$D:$D,"")</f>
        <v>1.1 Receitas Diretas</v>
      </c>
    </row>
    <row r="27" spans="4:20" x14ac:dyDescent="0.25">
      <c r="D27" s="1">
        <v>46177</v>
      </c>
      <c r="E27" s="1">
        <v>46177</v>
      </c>
      <c r="F27" s="17">
        <v>46195</v>
      </c>
      <c r="G27" t="s">
        <v>184</v>
      </c>
      <c r="H27" t="s">
        <v>19</v>
      </c>
      <c r="I27" t="s">
        <v>69</v>
      </c>
      <c r="J27" s="30">
        <v>1842453.54</v>
      </c>
      <c r="K27" s="30">
        <v>0</v>
      </c>
      <c r="L27" s="33">
        <v>1584686.79</v>
      </c>
      <c r="M27" t="s">
        <v>185</v>
      </c>
      <c r="N27" t="s">
        <v>192</v>
      </c>
      <c r="O27" s="34" t="s">
        <v>23</v>
      </c>
      <c r="P27" t="s">
        <v>193</v>
      </c>
      <c r="Q27" t="s">
        <v>23</v>
      </c>
      <c r="R27" t="s">
        <v>23</v>
      </c>
      <c r="S27" t="s">
        <v>25</v>
      </c>
      <c r="T27" t="str">
        <f>_xlfn.XLOOKUP(Tabela14[[#This Row],[Categoria]],CATEGORIAS!$C:$C,CATEGORIAS!$D:$D,"")</f>
        <v>1.1 Receitas Diretas</v>
      </c>
    </row>
    <row r="28" spans="4:20" x14ac:dyDescent="0.25">
      <c r="D28" s="1">
        <v>46191</v>
      </c>
      <c r="E28" s="1">
        <v>46191</v>
      </c>
      <c r="F28" s="17">
        <v>46209</v>
      </c>
      <c r="G28" t="s">
        <v>184</v>
      </c>
      <c r="H28" t="s">
        <v>19</v>
      </c>
      <c r="I28" t="s">
        <v>69</v>
      </c>
      <c r="J28" s="30">
        <v>838686.67</v>
      </c>
      <c r="K28" s="30">
        <v>0</v>
      </c>
      <c r="L28" s="33">
        <v>929910.25</v>
      </c>
      <c r="M28" t="s">
        <v>185</v>
      </c>
      <c r="N28" t="s">
        <v>192</v>
      </c>
      <c r="O28" s="34" t="s">
        <v>23</v>
      </c>
      <c r="P28" t="s">
        <v>193</v>
      </c>
      <c r="Q28" t="s">
        <v>23</v>
      </c>
      <c r="R28" t="s">
        <v>23</v>
      </c>
      <c r="S28" t="s">
        <v>25</v>
      </c>
      <c r="T28" t="str">
        <f>_xlfn.XLOOKUP(Tabela14[[#This Row],[Categoria]],CATEGORIAS!$C:$C,CATEGORIAS!$D:$D,"")</f>
        <v>1.1 Receitas Diretas</v>
      </c>
    </row>
    <row r="29" spans="4:20" x14ac:dyDescent="0.25">
      <c r="D29" s="1">
        <v>46205</v>
      </c>
      <c r="E29" s="1">
        <v>46205</v>
      </c>
      <c r="F29" s="17">
        <v>46223</v>
      </c>
      <c r="G29" t="s">
        <v>184</v>
      </c>
      <c r="H29" t="s">
        <v>19</v>
      </c>
      <c r="I29" t="s">
        <v>69</v>
      </c>
      <c r="J29" s="30">
        <v>419604.65</v>
      </c>
      <c r="K29" s="30">
        <v>0</v>
      </c>
      <c r="L29" s="33">
        <v>602051.81999999995</v>
      </c>
      <c r="M29" t="s">
        <v>185</v>
      </c>
      <c r="N29" t="s">
        <v>192</v>
      </c>
      <c r="O29" s="34" t="s">
        <v>23</v>
      </c>
      <c r="P29" t="s">
        <v>193</v>
      </c>
      <c r="Q29" t="s">
        <v>23</v>
      </c>
      <c r="R29" t="s">
        <v>23</v>
      </c>
      <c r="S29" t="s">
        <v>25</v>
      </c>
      <c r="T29" t="str">
        <f>_xlfn.XLOOKUP(Tabela14[[#This Row],[Categoria]],CATEGORIAS!$C:$C,CATEGORIAS!$D:$D,"")</f>
        <v>1.1 Receitas Diretas</v>
      </c>
    </row>
    <row r="30" spans="4:20" x14ac:dyDescent="0.25">
      <c r="D30" s="1">
        <v>46097</v>
      </c>
      <c r="E30" s="1">
        <v>46097</v>
      </c>
      <c r="F30" s="17">
        <v>46234</v>
      </c>
      <c r="G30" t="s">
        <v>271</v>
      </c>
      <c r="H30" t="s">
        <v>19</v>
      </c>
      <c r="I30" t="s">
        <v>80</v>
      </c>
      <c r="J30" s="30">
        <v>1000</v>
      </c>
      <c r="K30" s="30">
        <v>0</v>
      </c>
      <c r="L30" s="33">
        <v>1000</v>
      </c>
      <c r="M30" t="s">
        <v>238</v>
      </c>
      <c r="N30" t="s">
        <v>192</v>
      </c>
      <c r="O30" s="34" t="s">
        <v>304</v>
      </c>
      <c r="P30" t="s">
        <v>223</v>
      </c>
      <c r="Q30" t="s">
        <v>23</v>
      </c>
      <c r="R30" t="s">
        <v>23</v>
      </c>
      <c r="S30" t="s">
        <v>25</v>
      </c>
      <c r="T30" t="str">
        <f>_xlfn.XLOOKUP(Tabela14[[#This Row],[Categoria]],CATEGORIAS!$C:$C,CATEGORIAS!$D:$D,"")</f>
        <v>1.4 Outras Entradas</v>
      </c>
    </row>
    <row r="31" spans="4:20" x14ac:dyDescent="0.25">
      <c r="D31" s="1">
        <v>46219</v>
      </c>
      <c r="E31" s="1">
        <v>46219</v>
      </c>
      <c r="F31" s="17">
        <v>46237</v>
      </c>
      <c r="G31" t="s">
        <v>184</v>
      </c>
      <c r="H31" t="s">
        <v>19</v>
      </c>
      <c r="I31" t="s">
        <v>69</v>
      </c>
      <c r="J31" s="30">
        <v>315298.84000000003</v>
      </c>
      <c r="K31" s="30">
        <v>0</v>
      </c>
      <c r="L31" s="33">
        <v>315298.84000000003</v>
      </c>
      <c r="M31" t="s">
        <v>185</v>
      </c>
      <c r="N31" t="s">
        <v>192</v>
      </c>
      <c r="O31" s="34" t="s">
        <v>23</v>
      </c>
      <c r="P31" t="s">
        <v>193</v>
      </c>
      <c r="Q31" t="s">
        <v>23</v>
      </c>
      <c r="R31" t="s">
        <v>23</v>
      </c>
      <c r="S31" t="s">
        <v>25</v>
      </c>
      <c r="T31" t="str">
        <f>_xlfn.XLOOKUP(Tabela14[[#This Row],[Categoria]],CATEGORIAS!$C:$C,CATEGORIAS!$D:$D,"")</f>
        <v>1.1 Receitas Diretas</v>
      </c>
    </row>
    <row r="32" spans="4:20" x14ac:dyDescent="0.25">
      <c r="D32" s="1">
        <v>46150</v>
      </c>
      <c r="E32" s="1">
        <v>46150</v>
      </c>
      <c r="F32" s="17">
        <v>46150</v>
      </c>
      <c r="G32" t="s">
        <v>184</v>
      </c>
      <c r="H32" t="s">
        <v>27</v>
      </c>
      <c r="I32" t="s">
        <v>103</v>
      </c>
      <c r="J32" s="30">
        <v>-13686.87</v>
      </c>
      <c r="K32" s="30">
        <v>0</v>
      </c>
      <c r="L32" s="33">
        <v>-13686.87</v>
      </c>
      <c r="M32" t="s">
        <v>185</v>
      </c>
      <c r="N32" t="s">
        <v>201</v>
      </c>
      <c r="O32" s="34" t="s">
        <v>397</v>
      </c>
      <c r="P32" t="s">
        <v>187</v>
      </c>
      <c r="Q32" t="s">
        <v>23</v>
      </c>
      <c r="R32" t="s">
        <v>23</v>
      </c>
      <c r="S32" t="s">
        <v>25</v>
      </c>
      <c r="T32" t="str">
        <f>_xlfn.XLOOKUP(Tabela14[[#This Row],[Categoria]],CATEGORIAS!$C:$C,CATEGORIAS!$D:$D,"")</f>
        <v>2.1 Despesas Diretas</v>
      </c>
    </row>
    <row r="33" spans="4:20" x14ac:dyDescent="0.25">
      <c r="D33" s="1">
        <v>46150</v>
      </c>
      <c r="E33" s="1">
        <v>46150</v>
      </c>
      <c r="F33" s="17">
        <v>46150</v>
      </c>
      <c r="G33" t="s">
        <v>184</v>
      </c>
      <c r="H33" t="s">
        <v>27</v>
      </c>
      <c r="I33" t="s">
        <v>94</v>
      </c>
      <c r="J33" s="30">
        <v>-7387.52</v>
      </c>
      <c r="K33" s="30">
        <v>0</v>
      </c>
      <c r="L33" s="33">
        <v>-7387.52</v>
      </c>
      <c r="M33" t="s">
        <v>185</v>
      </c>
      <c r="N33" t="s">
        <v>201</v>
      </c>
      <c r="O33" s="34" t="s">
        <v>398</v>
      </c>
      <c r="P33" t="s">
        <v>187</v>
      </c>
      <c r="Q33" t="s">
        <v>23</v>
      </c>
      <c r="R33" t="s">
        <v>23</v>
      </c>
      <c r="S33" t="s">
        <v>25</v>
      </c>
      <c r="T33" t="str">
        <f>_xlfn.XLOOKUP(Tabela14[[#This Row],[Categoria]],CATEGORIAS!$C:$C,CATEGORIAS!$D:$D,"")</f>
        <v>2.1 Despesas Diretas</v>
      </c>
    </row>
    <row r="34" spans="4:20" x14ac:dyDescent="0.25">
      <c r="D34" s="1">
        <v>46150</v>
      </c>
      <c r="E34" s="1">
        <v>46150</v>
      </c>
      <c r="F34" s="17">
        <v>46150</v>
      </c>
      <c r="G34" t="s">
        <v>184</v>
      </c>
      <c r="H34" t="s">
        <v>27</v>
      </c>
      <c r="I34" t="s">
        <v>94</v>
      </c>
      <c r="J34" s="30">
        <v>-2496</v>
      </c>
      <c r="K34" s="30">
        <v>0</v>
      </c>
      <c r="L34" s="33">
        <v>-2496</v>
      </c>
      <c r="M34" t="s">
        <v>185</v>
      </c>
      <c r="N34" t="s">
        <v>201</v>
      </c>
      <c r="O34" s="34" t="s">
        <v>399</v>
      </c>
      <c r="P34" t="s">
        <v>187</v>
      </c>
      <c r="Q34" t="s">
        <v>23</v>
      </c>
      <c r="R34" t="s">
        <v>23</v>
      </c>
      <c r="S34" t="s">
        <v>25</v>
      </c>
      <c r="T34" t="str">
        <f>_xlfn.XLOOKUP(Tabela14[[#This Row],[Categoria]],CATEGORIAS!$C:$C,CATEGORIAS!$D:$D,"")</f>
        <v>2.1 Despesas Diretas</v>
      </c>
    </row>
    <row r="35" spans="4:20" x14ac:dyDescent="0.25">
      <c r="D35" s="1">
        <v>46150</v>
      </c>
      <c r="E35" s="1">
        <v>46150</v>
      </c>
      <c r="F35" s="17">
        <v>46150</v>
      </c>
      <c r="G35" t="s">
        <v>184</v>
      </c>
      <c r="H35" t="s">
        <v>27</v>
      </c>
      <c r="I35" t="s">
        <v>94</v>
      </c>
      <c r="J35" s="30">
        <v>-403.2</v>
      </c>
      <c r="K35" s="30">
        <v>0</v>
      </c>
      <c r="L35" s="33">
        <v>-403.2</v>
      </c>
      <c r="M35" t="s">
        <v>185</v>
      </c>
      <c r="N35" t="s">
        <v>201</v>
      </c>
      <c r="O35" s="34" t="s">
        <v>400</v>
      </c>
      <c r="P35" t="s">
        <v>187</v>
      </c>
      <c r="Q35" t="s">
        <v>23</v>
      </c>
      <c r="R35" t="s">
        <v>23</v>
      </c>
      <c r="S35" t="s">
        <v>25</v>
      </c>
      <c r="T35" t="str">
        <f>_xlfn.XLOOKUP(Tabela14[[#This Row],[Categoria]],CATEGORIAS!$C:$C,CATEGORIAS!$D:$D,"")</f>
        <v>2.1 Despesas Diretas</v>
      </c>
    </row>
    <row r="36" spans="4:20" x14ac:dyDescent="0.25">
      <c r="D36" s="1">
        <v>46178</v>
      </c>
      <c r="E36" s="1">
        <v>46178</v>
      </c>
      <c r="F36" s="17">
        <v>46178</v>
      </c>
      <c r="G36" t="s">
        <v>184</v>
      </c>
      <c r="H36" t="s">
        <v>27</v>
      </c>
      <c r="I36" t="s">
        <v>103</v>
      </c>
      <c r="J36" s="30">
        <v>-13284.31</v>
      </c>
      <c r="K36" s="30">
        <v>0</v>
      </c>
      <c r="L36" s="33">
        <v>-13284.31</v>
      </c>
      <c r="M36" t="s">
        <v>185</v>
      </c>
      <c r="N36" t="s">
        <v>201</v>
      </c>
      <c r="O36" s="34" t="s">
        <v>397</v>
      </c>
      <c r="P36" t="s">
        <v>187</v>
      </c>
      <c r="Q36" t="s">
        <v>23</v>
      </c>
      <c r="R36" t="s">
        <v>23</v>
      </c>
      <c r="S36" t="s">
        <v>25</v>
      </c>
      <c r="T36" t="str">
        <f>_xlfn.XLOOKUP(Tabela14[[#This Row],[Categoria]],CATEGORIAS!$C:$C,CATEGORIAS!$D:$D,"")</f>
        <v>2.1 Despesas Diretas</v>
      </c>
    </row>
    <row r="37" spans="4:20" x14ac:dyDescent="0.25">
      <c r="D37" s="1">
        <v>46178</v>
      </c>
      <c r="E37" s="1">
        <v>46178</v>
      </c>
      <c r="F37" s="17">
        <v>46178</v>
      </c>
      <c r="G37" t="s">
        <v>184</v>
      </c>
      <c r="H37" t="s">
        <v>27</v>
      </c>
      <c r="I37" t="s">
        <v>94</v>
      </c>
      <c r="J37" s="30">
        <v>-7387.52</v>
      </c>
      <c r="K37" s="30">
        <v>0</v>
      </c>
      <c r="L37" s="33">
        <v>-7387.52</v>
      </c>
      <c r="M37" t="s">
        <v>185</v>
      </c>
      <c r="N37" t="s">
        <v>201</v>
      </c>
      <c r="O37" s="34" t="s">
        <v>398</v>
      </c>
      <c r="P37" t="s">
        <v>187</v>
      </c>
      <c r="Q37" t="s">
        <v>23</v>
      </c>
      <c r="R37" t="s">
        <v>23</v>
      </c>
      <c r="S37" t="s">
        <v>25</v>
      </c>
      <c r="T37" t="str">
        <f>_xlfn.XLOOKUP(Tabela14[[#This Row],[Categoria]],CATEGORIAS!$C:$C,CATEGORIAS!$D:$D,"")</f>
        <v>2.1 Despesas Diretas</v>
      </c>
    </row>
    <row r="38" spans="4:20" x14ac:dyDescent="0.25">
      <c r="D38" s="1">
        <v>46178</v>
      </c>
      <c r="E38" s="1">
        <v>46178</v>
      </c>
      <c r="F38" s="17">
        <v>46178</v>
      </c>
      <c r="G38" t="s">
        <v>184</v>
      </c>
      <c r="H38" t="s">
        <v>27</v>
      </c>
      <c r="I38" t="s">
        <v>94</v>
      </c>
      <c r="J38" s="30">
        <v>-403.2</v>
      </c>
      <c r="K38" s="30">
        <v>0</v>
      </c>
      <c r="L38" s="33">
        <v>-403.2</v>
      </c>
      <c r="M38" t="s">
        <v>185</v>
      </c>
      <c r="N38" t="s">
        <v>201</v>
      </c>
      <c r="O38" s="34" t="s">
        <v>400</v>
      </c>
      <c r="P38" t="s">
        <v>187</v>
      </c>
      <c r="Q38" t="s">
        <v>23</v>
      </c>
      <c r="R38" t="s">
        <v>23</v>
      </c>
      <c r="S38" t="s">
        <v>25</v>
      </c>
      <c r="T38" t="str">
        <f>_xlfn.XLOOKUP(Tabela14[[#This Row],[Categoria]],CATEGORIAS!$C:$C,CATEGORIAS!$D:$D,"")</f>
        <v>2.1 Despesas Diretas</v>
      </c>
    </row>
    <row r="39" spans="4:20" x14ac:dyDescent="0.25">
      <c r="D39" s="1">
        <v>46178</v>
      </c>
      <c r="E39" s="1">
        <v>46178</v>
      </c>
      <c r="F39" s="17">
        <v>46178</v>
      </c>
      <c r="G39" t="s">
        <v>184</v>
      </c>
      <c r="H39" t="s">
        <v>27</v>
      </c>
      <c r="I39" t="s">
        <v>94</v>
      </c>
      <c r="J39" s="30">
        <v>-2496</v>
      </c>
      <c r="K39" s="30">
        <v>0</v>
      </c>
      <c r="L39" s="33">
        <v>-2496</v>
      </c>
      <c r="M39" t="s">
        <v>185</v>
      </c>
      <c r="N39" t="s">
        <v>201</v>
      </c>
      <c r="O39" s="34" t="s">
        <v>399</v>
      </c>
      <c r="P39" t="s">
        <v>187</v>
      </c>
      <c r="Q39" t="s">
        <v>23</v>
      </c>
      <c r="R39" t="s">
        <v>23</v>
      </c>
      <c r="S39" t="s">
        <v>25</v>
      </c>
      <c r="T39" t="str">
        <f>_xlfn.XLOOKUP(Tabela14[[#This Row],[Categoria]],CATEGORIAS!$C:$C,CATEGORIAS!$D:$D,"")</f>
        <v>2.1 Despesas Diretas</v>
      </c>
    </row>
    <row r="40" spans="4:20" x14ac:dyDescent="0.25">
      <c r="D40" s="1">
        <v>46206</v>
      </c>
      <c r="E40" s="1">
        <v>46206</v>
      </c>
      <c r="F40" s="17">
        <v>46206</v>
      </c>
      <c r="G40" t="s">
        <v>184</v>
      </c>
      <c r="H40" t="s">
        <v>27</v>
      </c>
      <c r="I40" t="s">
        <v>103</v>
      </c>
      <c r="J40" s="30">
        <v>-13284.31</v>
      </c>
      <c r="K40" s="30">
        <v>0</v>
      </c>
      <c r="L40" s="33">
        <v>-13284.31</v>
      </c>
      <c r="M40" t="s">
        <v>185</v>
      </c>
      <c r="N40" t="s">
        <v>201</v>
      </c>
      <c r="O40" s="34" t="s">
        <v>397</v>
      </c>
      <c r="P40" t="s">
        <v>187</v>
      </c>
      <c r="Q40" t="s">
        <v>23</v>
      </c>
      <c r="R40" t="s">
        <v>23</v>
      </c>
      <c r="S40" t="s">
        <v>25</v>
      </c>
      <c r="T40" t="str">
        <f>_xlfn.XLOOKUP(Tabela14[[#This Row],[Categoria]],CATEGORIAS!$C:$C,CATEGORIAS!$D:$D,"")</f>
        <v>2.1 Despesas Diretas</v>
      </c>
    </row>
    <row r="41" spans="4:20" x14ac:dyDescent="0.25">
      <c r="D41" s="1">
        <v>46150</v>
      </c>
      <c r="E41" s="1">
        <v>46150</v>
      </c>
      <c r="F41" s="17">
        <v>46154</v>
      </c>
      <c r="G41" t="s">
        <v>184</v>
      </c>
      <c r="H41" t="s">
        <v>27</v>
      </c>
      <c r="I41" t="s">
        <v>91</v>
      </c>
      <c r="J41" s="30">
        <v>-1500.8</v>
      </c>
      <c r="K41" s="30">
        <v>0</v>
      </c>
      <c r="L41" s="33">
        <v>-1500.8</v>
      </c>
      <c r="M41" t="s">
        <v>185</v>
      </c>
      <c r="N41" t="s">
        <v>203</v>
      </c>
      <c r="O41" s="34" t="s">
        <v>562</v>
      </c>
      <c r="P41" t="s">
        <v>187</v>
      </c>
      <c r="Q41" t="s">
        <v>23</v>
      </c>
      <c r="R41" t="s">
        <v>23</v>
      </c>
      <c r="S41" t="s">
        <v>25</v>
      </c>
      <c r="T41" t="str">
        <f>_xlfn.XLOOKUP(Tabela14[[#This Row],[Categoria]],CATEGORIAS!$C:$C,CATEGORIAS!$D:$D,"")</f>
        <v>2.1 Despesas Diretas</v>
      </c>
    </row>
    <row r="42" spans="4:20" x14ac:dyDescent="0.25">
      <c r="D42" s="1">
        <v>46150</v>
      </c>
      <c r="E42" s="1">
        <v>46150</v>
      </c>
      <c r="F42" s="17">
        <v>46150</v>
      </c>
      <c r="G42" t="s">
        <v>184</v>
      </c>
      <c r="H42" t="s">
        <v>27</v>
      </c>
      <c r="I42" t="s">
        <v>103</v>
      </c>
      <c r="J42" s="30">
        <v>-2240</v>
      </c>
      <c r="K42" s="30">
        <v>0</v>
      </c>
      <c r="L42" s="33">
        <v>-2240</v>
      </c>
      <c r="M42" t="s">
        <v>185</v>
      </c>
      <c r="N42" t="s">
        <v>203</v>
      </c>
      <c r="O42" s="34" t="s">
        <v>401</v>
      </c>
      <c r="P42" t="s">
        <v>187</v>
      </c>
      <c r="Q42" t="s">
        <v>23</v>
      </c>
      <c r="R42" t="s">
        <v>23</v>
      </c>
      <c r="S42" t="s">
        <v>25</v>
      </c>
      <c r="T42" t="str">
        <f>_xlfn.XLOOKUP(Tabela14[[#This Row],[Categoria]],CATEGORIAS!$C:$C,CATEGORIAS!$D:$D,"")</f>
        <v>2.1 Despesas Diretas</v>
      </c>
    </row>
    <row r="43" spans="4:20" x14ac:dyDescent="0.25">
      <c r="D43" s="1">
        <v>46150</v>
      </c>
      <c r="E43" s="1">
        <v>46150</v>
      </c>
      <c r="F43" s="17">
        <v>46150</v>
      </c>
      <c r="G43" t="s">
        <v>184</v>
      </c>
      <c r="H43" t="s">
        <v>27</v>
      </c>
      <c r="I43" t="s">
        <v>103</v>
      </c>
      <c r="J43" s="31">
        <v>-2240</v>
      </c>
      <c r="K43" s="31">
        <v>0</v>
      </c>
      <c r="L43" s="33">
        <v>-2240</v>
      </c>
      <c r="M43" t="s">
        <v>185</v>
      </c>
      <c r="N43" t="s">
        <v>203</v>
      </c>
      <c r="O43" s="34" t="s">
        <v>402</v>
      </c>
      <c r="P43" t="s">
        <v>187</v>
      </c>
      <c r="Q43" t="s">
        <v>23</v>
      </c>
      <c r="R43" t="s">
        <v>23</v>
      </c>
      <c r="S43" t="s">
        <v>25</v>
      </c>
      <c r="T43" t="str">
        <f>_xlfn.XLOOKUP(Tabela14[[#This Row],[Categoria]],CATEGORIAS!$C:$C,CATEGORIAS!$D:$D,"")</f>
        <v>2.1 Despesas Diretas</v>
      </c>
    </row>
    <row r="44" spans="4:20" x14ac:dyDescent="0.25">
      <c r="D44" s="1">
        <v>46150</v>
      </c>
      <c r="E44" s="1">
        <v>46150</v>
      </c>
      <c r="F44" s="17">
        <v>46150</v>
      </c>
      <c r="G44" t="s">
        <v>184</v>
      </c>
      <c r="H44" t="s">
        <v>27</v>
      </c>
      <c r="I44" t="s">
        <v>94</v>
      </c>
      <c r="J44" s="30">
        <v>-217.28</v>
      </c>
      <c r="K44" s="30">
        <v>0</v>
      </c>
      <c r="L44" s="33">
        <v>-217.28</v>
      </c>
      <c r="M44" t="s">
        <v>185</v>
      </c>
      <c r="N44" t="s">
        <v>203</v>
      </c>
      <c r="O44" s="34" t="s">
        <v>398</v>
      </c>
      <c r="P44" t="s">
        <v>187</v>
      </c>
      <c r="Q44" t="s">
        <v>23</v>
      </c>
      <c r="R44" t="s">
        <v>23</v>
      </c>
      <c r="S44" t="s">
        <v>25</v>
      </c>
      <c r="T44" t="str">
        <f>_xlfn.XLOOKUP(Tabela14[[#This Row],[Categoria]],CATEGORIAS!$C:$C,CATEGORIAS!$D:$D,"")</f>
        <v>2.1 Despesas Diretas</v>
      </c>
    </row>
    <row r="45" spans="4:20" x14ac:dyDescent="0.25">
      <c r="D45" s="1">
        <v>46136</v>
      </c>
      <c r="E45" s="1">
        <v>46136</v>
      </c>
      <c r="F45" s="17">
        <v>46140</v>
      </c>
      <c r="G45" t="s">
        <v>184</v>
      </c>
      <c r="H45" t="s">
        <v>27</v>
      </c>
      <c r="I45" t="s">
        <v>91</v>
      </c>
      <c r="J45" s="31">
        <v>-1499.2</v>
      </c>
      <c r="K45" s="31">
        <v>0</v>
      </c>
      <c r="L45" s="33">
        <v>-1499.2</v>
      </c>
      <c r="M45" t="s">
        <v>185</v>
      </c>
      <c r="N45" t="s">
        <v>203</v>
      </c>
      <c r="O45" s="34" t="s">
        <v>562</v>
      </c>
      <c r="P45" t="s">
        <v>187</v>
      </c>
      <c r="Q45" t="s">
        <v>23</v>
      </c>
      <c r="R45" t="s">
        <v>23</v>
      </c>
      <c r="S45" t="s">
        <v>25</v>
      </c>
      <c r="T45" t="str">
        <f>_xlfn.XLOOKUP(Tabela14[[#This Row],[Categoria]],CATEGORIAS!$C:$C,CATEGORIAS!$D:$D,"")</f>
        <v>2.1 Despesas Diretas</v>
      </c>
    </row>
    <row r="46" spans="4:20" x14ac:dyDescent="0.25">
      <c r="D46" s="1">
        <v>46178</v>
      </c>
      <c r="E46" s="1">
        <v>46178</v>
      </c>
      <c r="F46" s="17">
        <v>46178</v>
      </c>
      <c r="G46" t="s">
        <v>184</v>
      </c>
      <c r="H46" t="s">
        <v>27</v>
      </c>
      <c r="I46" t="s">
        <v>103</v>
      </c>
      <c r="J46" s="31">
        <v>-2240</v>
      </c>
      <c r="K46" s="31">
        <v>0</v>
      </c>
      <c r="L46" s="33">
        <v>-2240</v>
      </c>
      <c r="M46" t="s">
        <v>185</v>
      </c>
      <c r="N46" t="s">
        <v>203</v>
      </c>
      <c r="O46" s="34" t="s">
        <v>402</v>
      </c>
      <c r="P46" t="s">
        <v>187</v>
      </c>
      <c r="Q46" t="s">
        <v>23</v>
      </c>
      <c r="R46" t="s">
        <v>23</v>
      </c>
      <c r="S46" t="s">
        <v>25</v>
      </c>
      <c r="T46" t="str">
        <f>_xlfn.XLOOKUP(Tabela14[[#This Row],[Categoria]],CATEGORIAS!$C:$C,CATEGORIAS!$D:$D,"")</f>
        <v>2.1 Despesas Diretas</v>
      </c>
    </row>
    <row r="47" spans="4:20" x14ac:dyDescent="0.25">
      <c r="D47" s="1">
        <v>46178</v>
      </c>
      <c r="E47" s="1">
        <v>46178</v>
      </c>
      <c r="F47" s="17">
        <v>46178</v>
      </c>
      <c r="G47" t="s">
        <v>184</v>
      </c>
      <c r="H47" t="s">
        <v>27</v>
      </c>
      <c r="I47" t="s">
        <v>103</v>
      </c>
      <c r="J47" s="30">
        <v>-2240</v>
      </c>
      <c r="K47" s="30">
        <v>0</v>
      </c>
      <c r="L47" s="33">
        <v>-2240</v>
      </c>
      <c r="M47" t="s">
        <v>185</v>
      </c>
      <c r="N47" t="s">
        <v>203</v>
      </c>
      <c r="O47" s="34" t="s">
        <v>401</v>
      </c>
      <c r="P47" t="s">
        <v>187</v>
      </c>
      <c r="Q47" t="s">
        <v>23</v>
      </c>
      <c r="R47" t="s">
        <v>23</v>
      </c>
      <c r="S47" t="s">
        <v>25</v>
      </c>
      <c r="T47" t="str">
        <f>_xlfn.XLOOKUP(Tabela14[[#This Row],[Categoria]],CATEGORIAS!$C:$C,CATEGORIAS!$D:$D,"")</f>
        <v>2.1 Despesas Diretas</v>
      </c>
    </row>
    <row r="48" spans="4:20" x14ac:dyDescent="0.25">
      <c r="D48" s="1">
        <v>46178</v>
      </c>
      <c r="E48" s="1">
        <v>46178</v>
      </c>
      <c r="F48" s="17">
        <v>46178</v>
      </c>
      <c r="G48" t="s">
        <v>184</v>
      </c>
      <c r="H48" t="s">
        <v>27</v>
      </c>
      <c r="I48" t="s">
        <v>94</v>
      </c>
      <c r="J48" s="30">
        <v>-217.28</v>
      </c>
      <c r="K48" s="30">
        <v>0</v>
      </c>
      <c r="L48" s="33">
        <v>-217.28</v>
      </c>
      <c r="M48" t="s">
        <v>185</v>
      </c>
      <c r="N48" t="s">
        <v>203</v>
      </c>
      <c r="O48" s="34" t="s">
        <v>398</v>
      </c>
      <c r="P48" t="s">
        <v>187</v>
      </c>
      <c r="Q48" t="s">
        <v>23</v>
      </c>
      <c r="R48" t="s">
        <v>23</v>
      </c>
      <c r="S48" t="s">
        <v>25</v>
      </c>
      <c r="T48" t="str">
        <f>_xlfn.XLOOKUP(Tabela14[[#This Row],[Categoria]],CATEGORIAS!$C:$C,CATEGORIAS!$D:$D,"")</f>
        <v>2.1 Despesas Diretas</v>
      </c>
    </row>
    <row r="49" spans="4:20" x14ac:dyDescent="0.25">
      <c r="D49" s="1">
        <v>46178</v>
      </c>
      <c r="E49" s="1">
        <v>46178</v>
      </c>
      <c r="F49" s="17">
        <v>46182</v>
      </c>
      <c r="G49" t="s">
        <v>184</v>
      </c>
      <c r="H49" t="s">
        <v>27</v>
      </c>
      <c r="I49" t="s">
        <v>91</v>
      </c>
      <c r="J49" s="30">
        <v>-3560</v>
      </c>
      <c r="K49" s="30">
        <v>0</v>
      </c>
      <c r="L49" s="33">
        <v>-3560</v>
      </c>
      <c r="M49" t="s">
        <v>185</v>
      </c>
      <c r="N49" t="s">
        <v>203</v>
      </c>
      <c r="O49" s="34" t="s">
        <v>562</v>
      </c>
      <c r="P49" t="s">
        <v>187</v>
      </c>
      <c r="Q49" t="s">
        <v>23</v>
      </c>
      <c r="R49" t="s">
        <v>23</v>
      </c>
      <c r="S49" t="s">
        <v>25</v>
      </c>
      <c r="T49" t="str">
        <f>_xlfn.XLOOKUP(Tabela14[[#This Row],[Categoria]],CATEGORIAS!$C:$C,CATEGORIAS!$D:$D,"")</f>
        <v>2.1 Despesas Diretas</v>
      </c>
    </row>
    <row r="50" spans="4:20" x14ac:dyDescent="0.25">
      <c r="D50" s="1">
        <v>46164</v>
      </c>
      <c r="E50" s="1">
        <v>46164</v>
      </c>
      <c r="F50" s="17">
        <v>46168</v>
      </c>
      <c r="G50" t="s">
        <v>184</v>
      </c>
      <c r="H50" t="s">
        <v>27</v>
      </c>
      <c r="I50" t="s">
        <v>91</v>
      </c>
      <c r="J50" s="30">
        <v>-5391.2</v>
      </c>
      <c r="K50" s="30">
        <v>0</v>
      </c>
      <c r="L50" s="33">
        <v>-5391.2</v>
      </c>
      <c r="M50" t="s">
        <v>185</v>
      </c>
      <c r="N50" t="s">
        <v>203</v>
      </c>
      <c r="O50" s="34" t="s">
        <v>562</v>
      </c>
      <c r="P50" t="s">
        <v>187</v>
      </c>
      <c r="Q50" t="s">
        <v>23</v>
      </c>
      <c r="R50" t="s">
        <v>23</v>
      </c>
      <c r="S50" t="s">
        <v>25</v>
      </c>
      <c r="T50" t="str">
        <f>_xlfn.XLOOKUP(Tabela14[[#This Row],[Categoria]],CATEGORIAS!$C:$C,CATEGORIAS!$D:$D,"")</f>
        <v>2.1 Despesas Diretas</v>
      </c>
    </row>
    <row r="51" spans="4:20" x14ac:dyDescent="0.25">
      <c r="D51" s="1">
        <v>46192</v>
      </c>
      <c r="E51" s="1">
        <v>46192</v>
      </c>
      <c r="F51" s="17">
        <v>46196</v>
      </c>
      <c r="G51" t="s">
        <v>184</v>
      </c>
      <c r="H51" t="s">
        <v>27</v>
      </c>
      <c r="I51" t="s">
        <v>91</v>
      </c>
      <c r="J51" s="30">
        <v>-4048.8</v>
      </c>
      <c r="K51" s="30">
        <v>0</v>
      </c>
      <c r="L51" s="33">
        <v>-4048.8</v>
      </c>
      <c r="M51" t="s">
        <v>185</v>
      </c>
      <c r="N51" t="s">
        <v>203</v>
      </c>
      <c r="O51" s="34" t="s">
        <v>562</v>
      </c>
      <c r="P51" t="s">
        <v>187</v>
      </c>
      <c r="Q51" t="s">
        <v>23</v>
      </c>
      <c r="R51" t="s">
        <v>23</v>
      </c>
      <c r="S51" t="s">
        <v>25</v>
      </c>
      <c r="T51" t="str">
        <f>_xlfn.XLOOKUP(Tabela14[[#This Row],[Categoria]],CATEGORIAS!$C:$C,CATEGORIAS!$D:$D,"")</f>
        <v>2.1 Despesas Diretas</v>
      </c>
    </row>
    <row r="52" spans="4:20" x14ac:dyDescent="0.25">
      <c r="D52" s="1">
        <v>46178</v>
      </c>
      <c r="E52" s="1">
        <v>46178</v>
      </c>
      <c r="F52" s="17">
        <v>46184</v>
      </c>
      <c r="G52" t="s">
        <v>184</v>
      </c>
      <c r="H52" t="s">
        <v>27</v>
      </c>
      <c r="I52" t="s">
        <v>94</v>
      </c>
      <c r="J52" s="30">
        <v>-38.4</v>
      </c>
      <c r="K52" s="30">
        <v>0</v>
      </c>
      <c r="L52" s="33">
        <v>-38.4</v>
      </c>
      <c r="M52" t="s">
        <v>185</v>
      </c>
      <c r="N52" t="s">
        <v>189</v>
      </c>
      <c r="O52" s="34" t="s">
        <v>403</v>
      </c>
      <c r="P52" t="s">
        <v>187</v>
      </c>
      <c r="Q52" t="s">
        <v>23</v>
      </c>
      <c r="R52" t="s">
        <v>23</v>
      </c>
      <c r="S52" t="s">
        <v>25</v>
      </c>
      <c r="T52" t="str">
        <f>_xlfn.XLOOKUP(Tabela14[[#This Row],[Categoria]],CATEGORIAS!$C:$C,CATEGORIAS!$D:$D,"")</f>
        <v>2.1 Despesas Diretas</v>
      </c>
    </row>
    <row r="53" spans="4:20" x14ac:dyDescent="0.25">
      <c r="D53" s="1">
        <v>46178</v>
      </c>
      <c r="E53" s="1">
        <v>46178</v>
      </c>
      <c r="F53" s="17">
        <v>46184</v>
      </c>
      <c r="G53" t="s">
        <v>184</v>
      </c>
      <c r="H53" t="s">
        <v>27</v>
      </c>
      <c r="I53" t="s">
        <v>104</v>
      </c>
      <c r="J53" s="30">
        <v>-33371.14</v>
      </c>
      <c r="K53" s="30">
        <v>0</v>
      </c>
      <c r="L53" s="33">
        <v>-33371.14</v>
      </c>
      <c r="M53" t="s">
        <v>185</v>
      </c>
      <c r="N53" t="s">
        <v>189</v>
      </c>
      <c r="O53" s="34" t="s">
        <v>404</v>
      </c>
      <c r="P53" t="s">
        <v>187</v>
      </c>
      <c r="Q53" t="s">
        <v>23</v>
      </c>
      <c r="R53" t="s">
        <v>23</v>
      </c>
      <c r="S53" t="s">
        <v>25</v>
      </c>
      <c r="T53" t="str">
        <f>_xlfn.XLOOKUP(Tabela14[[#This Row],[Categoria]],CATEGORIAS!$C:$C,CATEGORIAS!$D:$D,"")</f>
        <v>2.1 Despesas Diretas</v>
      </c>
    </row>
    <row r="54" spans="4:20" x14ac:dyDescent="0.25">
      <c r="D54" s="1">
        <v>46178</v>
      </c>
      <c r="E54" s="1">
        <v>46178</v>
      </c>
      <c r="F54" s="17">
        <v>46184</v>
      </c>
      <c r="G54" t="s">
        <v>184</v>
      </c>
      <c r="H54" t="s">
        <v>27</v>
      </c>
      <c r="I54" t="s">
        <v>104</v>
      </c>
      <c r="J54" s="30">
        <v>-13395.02</v>
      </c>
      <c r="K54" s="30">
        <v>0</v>
      </c>
      <c r="L54" s="33">
        <v>-13395.02</v>
      </c>
      <c r="M54" t="s">
        <v>185</v>
      </c>
      <c r="N54" t="s">
        <v>189</v>
      </c>
      <c r="O54" s="34" t="s">
        <v>405</v>
      </c>
      <c r="P54" t="s">
        <v>187</v>
      </c>
      <c r="Q54" t="s">
        <v>23</v>
      </c>
      <c r="R54" t="s">
        <v>23</v>
      </c>
      <c r="S54" t="s">
        <v>25</v>
      </c>
      <c r="T54" t="str">
        <f>_xlfn.XLOOKUP(Tabela14[[#This Row],[Categoria]],CATEGORIAS!$C:$C,CATEGORIAS!$D:$D,"")</f>
        <v>2.1 Despesas Diretas</v>
      </c>
    </row>
    <row r="55" spans="4:20" x14ac:dyDescent="0.25">
      <c r="D55" s="1">
        <v>46178</v>
      </c>
      <c r="E55" s="1">
        <v>46178</v>
      </c>
      <c r="F55" s="17">
        <v>46184</v>
      </c>
      <c r="G55" t="s">
        <v>184</v>
      </c>
      <c r="H55" t="s">
        <v>27</v>
      </c>
      <c r="I55" t="s">
        <v>95</v>
      </c>
      <c r="J55" s="31">
        <v>-124.8</v>
      </c>
      <c r="K55" s="31">
        <v>0</v>
      </c>
      <c r="L55" s="33">
        <v>-124.8</v>
      </c>
      <c r="M55" t="s">
        <v>185</v>
      </c>
      <c r="N55" t="s">
        <v>189</v>
      </c>
      <c r="O55" s="34" t="s">
        <v>406</v>
      </c>
      <c r="P55" t="s">
        <v>187</v>
      </c>
      <c r="Q55" t="s">
        <v>23</v>
      </c>
      <c r="R55" t="s">
        <v>23</v>
      </c>
      <c r="S55" t="s">
        <v>25</v>
      </c>
      <c r="T55" t="str">
        <f>_xlfn.XLOOKUP(Tabela14[[#This Row],[Categoria]],CATEGORIAS!$C:$C,CATEGORIAS!$D:$D,"")</f>
        <v>2.1 Despesas Diretas</v>
      </c>
    </row>
    <row r="56" spans="4:20" x14ac:dyDescent="0.25">
      <c r="D56" s="1">
        <v>46178</v>
      </c>
      <c r="E56" s="1">
        <v>46178</v>
      </c>
      <c r="F56" s="17">
        <v>46184</v>
      </c>
      <c r="G56" t="s">
        <v>184</v>
      </c>
      <c r="H56" t="s">
        <v>27</v>
      </c>
      <c r="I56" t="s">
        <v>94</v>
      </c>
      <c r="J56" s="30">
        <v>-1625.6</v>
      </c>
      <c r="K56" s="30">
        <v>0</v>
      </c>
      <c r="L56" s="33">
        <v>-1625.6</v>
      </c>
      <c r="M56" t="s">
        <v>185</v>
      </c>
      <c r="N56" t="s">
        <v>189</v>
      </c>
      <c r="O56" s="34" t="s">
        <v>407</v>
      </c>
      <c r="P56" t="s">
        <v>187</v>
      </c>
      <c r="Q56" t="s">
        <v>23</v>
      </c>
      <c r="R56" t="s">
        <v>23</v>
      </c>
      <c r="S56" t="s">
        <v>25</v>
      </c>
      <c r="T56" t="str">
        <f>_xlfn.XLOOKUP(Tabela14[[#This Row],[Categoria]],CATEGORIAS!$C:$C,CATEGORIAS!$D:$D,"")</f>
        <v>2.1 Despesas Diretas</v>
      </c>
    </row>
    <row r="57" spans="4:20" x14ac:dyDescent="0.25">
      <c r="D57" s="1">
        <v>46178</v>
      </c>
      <c r="E57" s="1">
        <v>46178</v>
      </c>
      <c r="F57" s="17">
        <v>46184</v>
      </c>
      <c r="G57" t="s">
        <v>184</v>
      </c>
      <c r="H57" t="s">
        <v>27</v>
      </c>
      <c r="I57" t="s">
        <v>94</v>
      </c>
      <c r="J57" s="30">
        <v>-286.39999999999998</v>
      </c>
      <c r="K57" s="30">
        <v>0</v>
      </c>
      <c r="L57" s="33">
        <v>-286.39999999999998</v>
      </c>
      <c r="M57" t="s">
        <v>185</v>
      </c>
      <c r="N57" t="s">
        <v>189</v>
      </c>
      <c r="O57" s="34" t="s">
        <v>408</v>
      </c>
      <c r="P57" t="s">
        <v>187</v>
      </c>
      <c r="Q57" t="s">
        <v>23</v>
      </c>
      <c r="R57" t="s">
        <v>23</v>
      </c>
      <c r="S57" t="s">
        <v>25</v>
      </c>
      <c r="T57" t="str">
        <f>_xlfn.XLOOKUP(Tabela14[[#This Row],[Categoria]],CATEGORIAS!$C:$C,CATEGORIAS!$D:$D,"")</f>
        <v>2.1 Despesas Diretas</v>
      </c>
    </row>
    <row r="58" spans="4:20" x14ac:dyDescent="0.25">
      <c r="D58" s="1">
        <v>46178</v>
      </c>
      <c r="E58" s="1">
        <v>46178</v>
      </c>
      <c r="F58" s="17">
        <v>46184</v>
      </c>
      <c r="G58" t="s">
        <v>184</v>
      </c>
      <c r="H58" t="s">
        <v>27</v>
      </c>
      <c r="I58" t="s">
        <v>94</v>
      </c>
      <c r="J58" s="30">
        <v>-480</v>
      </c>
      <c r="K58" s="30">
        <v>0</v>
      </c>
      <c r="L58" s="33">
        <v>-480</v>
      </c>
      <c r="M58" t="s">
        <v>185</v>
      </c>
      <c r="N58" t="s">
        <v>189</v>
      </c>
      <c r="O58" s="34" t="s">
        <v>409</v>
      </c>
      <c r="P58" t="s">
        <v>187</v>
      </c>
      <c r="Q58" t="s">
        <v>23</v>
      </c>
      <c r="R58" t="s">
        <v>23</v>
      </c>
      <c r="S58" t="s">
        <v>25</v>
      </c>
      <c r="T58" t="str">
        <f>_xlfn.XLOOKUP(Tabela14[[#This Row],[Categoria]],CATEGORIAS!$C:$C,CATEGORIAS!$D:$D,"")</f>
        <v>2.1 Despesas Diretas</v>
      </c>
    </row>
    <row r="59" spans="4:20" x14ac:dyDescent="0.25">
      <c r="D59" s="1">
        <v>46164</v>
      </c>
      <c r="E59" s="1">
        <v>46164</v>
      </c>
      <c r="F59" s="17">
        <v>46168</v>
      </c>
      <c r="G59" t="s">
        <v>184</v>
      </c>
      <c r="H59" t="s">
        <v>27</v>
      </c>
      <c r="I59" t="s">
        <v>91</v>
      </c>
      <c r="J59" s="30">
        <v>-2698.56</v>
      </c>
      <c r="K59" s="30">
        <v>0</v>
      </c>
      <c r="L59" s="33">
        <v>-2698.56</v>
      </c>
      <c r="M59" t="s">
        <v>185</v>
      </c>
      <c r="N59" t="s">
        <v>189</v>
      </c>
      <c r="O59" s="34" t="s">
        <v>410</v>
      </c>
      <c r="P59" t="s">
        <v>187</v>
      </c>
      <c r="Q59" t="s">
        <v>23</v>
      </c>
      <c r="R59" t="s">
        <v>23</v>
      </c>
      <c r="S59" t="s">
        <v>25</v>
      </c>
      <c r="T59" t="str">
        <f>_xlfn.XLOOKUP(Tabela14[[#This Row],[Categoria]],CATEGORIAS!$C:$C,CATEGORIAS!$D:$D,"")</f>
        <v>2.1 Despesas Diretas</v>
      </c>
    </row>
    <row r="60" spans="4:20" x14ac:dyDescent="0.25">
      <c r="D60" s="1">
        <v>46178</v>
      </c>
      <c r="E60" s="1">
        <v>46178</v>
      </c>
      <c r="F60" s="17">
        <v>46182</v>
      </c>
      <c r="G60" t="s">
        <v>184</v>
      </c>
      <c r="H60" t="s">
        <v>27</v>
      </c>
      <c r="I60" t="s">
        <v>91</v>
      </c>
      <c r="J60" s="30">
        <v>-2701.44</v>
      </c>
      <c r="K60" s="30">
        <v>0</v>
      </c>
      <c r="L60" s="33">
        <v>-2701.44</v>
      </c>
      <c r="M60" t="s">
        <v>185</v>
      </c>
      <c r="N60" t="s">
        <v>189</v>
      </c>
      <c r="O60" s="34" t="s">
        <v>410</v>
      </c>
      <c r="P60" t="s">
        <v>187</v>
      </c>
      <c r="Q60" t="s">
        <v>23</v>
      </c>
      <c r="R60" t="s">
        <v>23</v>
      </c>
      <c r="S60" t="s">
        <v>25</v>
      </c>
      <c r="T60" t="str">
        <f>_xlfn.XLOOKUP(Tabela14[[#This Row],[Categoria]],CATEGORIAS!$C:$C,CATEGORIAS!$D:$D,"")</f>
        <v>2.1 Despesas Diretas</v>
      </c>
    </row>
    <row r="61" spans="4:20" x14ac:dyDescent="0.25">
      <c r="D61" s="1">
        <v>46206</v>
      </c>
      <c r="E61" s="1">
        <v>46206</v>
      </c>
      <c r="F61" s="17">
        <v>46214</v>
      </c>
      <c r="G61" t="s">
        <v>184</v>
      </c>
      <c r="H61" t="s">
        <v>27</v>
      </c>
      <c r="I61" t="s">
        <v>94</v>
      </c>
      <c r="J61" s="30">
        <v>-1625.6</v>
      </c>
      <c r="K61" s="30">
        <v>0</v>
      </c>
      <c r="L61" s="33">
        <v>-1625.6</v>
      </c>
      <c r="M61" t="s">
        <v>185</v>
      </c>
      <c r="N61" t="s">
        <v>189</v>
      </c>
      <c r="O61" s="34" t="s">
        <v>407</v>
      </c>
      <c r="P61" t="s">
        <v>187</v>
      </c>
      <c r="Q61" t="s">
        <v>23</v>
      </c>
      <c r="R61" t="s">
        <v>23</v>
      </c>
      <c r="S61" t="s">
        <v>25</v>
      </c>
      <c r="T61" t="str">
        <f>_xlfn.XLOOKUP(Tabela14[[#This Row],[Categoria]],CATEGORIAS!$C:$C,CATEGORIAS!$D:$D,"")</f>
        <v>2.1 Despesas Diretas</v>
      </c>
    </row>
    <row r="62" spans="4:20" x14ac:dyDescent="0.25">
      <c r="D62" s="1">
        <v>46206</v>
      </c>
      <c r="E62" s="1">
        <v>46206</v>
      </c>
      <c r="F62" s="17">
        <v>46214</v>
      </c>
      <c r="G62" t="s">
        <v>184</v>
      </c>
      <c r="H62" t="s">
        <v>27</v>
      </c>
      <c r="I62" t="s">
        <v>94</v>
      </c>
      <c r="J62" s="30">
        <v>-38.4</v>
      </c>
      <c r="K62" s="30">
        <v>0</v>
      </c>
      <c r="L62" s="33">
        <v>-38.4</v>
      </c>
      <c r="M62" t="s">
        <v>185</v>
      </c>
      <c r="N62" t="s">
        <v>189</v>
      </c>
      <c r="O62" s="34" t="s">
        <v>403</v>
      </c>
      <c r="P62" t="s">
        <v>187</v>
      </c>
      <c r="Q62" t="s">
        <v>23</v>
      </c>
      <c r="R62" t="s">
        <v>23</v>
      </c>
      <c r="S62" t="s">
        <v>25</v>
      </c>
      <c r="T62" t="str">
        <f>_xlfn.XLOOKUP(Tabela14[[#This Row],[Categoria]],CATEGORIAS!$C:$C,CATEGORIAS!$D:$D,"")</f>
        <v>2.1 Despesas Diretas</v>
      </c>
    </row>
    <row r="63" spans="4:20" x14ac:dyDescent="0.25">
      <c r="D63" s="1">
        <v>46206</v>
      </c>
      <c r="E63" s="1">
        <v>46206</v>
      </c>
      <c r="F63" s="17">
        <v>46214</v>
      </c>
      <c r="G63" t="s">
        <v>184</v>
      </c>
      <c r="H63" t="s">
        <v>27</v>
      </c>
      <c r="I63" t="s">
        <v>94</v>
      </c>
      <c r="J63" s="30">
        <v>-286.39999999999998</v>
      </c>
      <c r="K63" s="30">
        <v>0</v>
      </c>
      <c r="L63" s="33">
        <v>-286.39999999999998</v>
      </c>
      <c r="M63" t="s">
        <v>185</v>
      </c>
      <c r="N63" t="s">
        <v>189</v>
      </c>
      <c r="O63" s="34" t="s">
        <v>408</v>
      </c>
      <c r="P63" t="s">
        <v>187</v>
      </c>
      <c r="Q63" t="s">
        <v>23</v>
      </c>
      <c r="R63" t="s">
        <v>23</v>
      </c>
      <c r="S63" t="s">
        <v>25</v>
      </c>
      <c r="T63" t="str">
        <f>_xlfn.XLOOKUP(Tabela14[[#This Row],[Categoria]],CATEGORIAS!$C:$C,CATEGORIAS!$D:$D,"")</f>
        <v>2.1 Despesas Diretas</v>
      </c>
    </row>
    <row r="64" spans="4:20" x14ac:dyDescent="0.25">
      <c r="D64" s="1">
        <v>46206</v>
      </c>
      <c r="E64" s="1">
        <v>46206</v>
      </c>
      <c r="F64" s="17">
        <v>46214</v>
      </c>
      <c r="G64" t="s">
        <v>184</v>
      </c>
      <c r="H64" t="s">
        <v>27</v>
      </c>
      <c r="I64" t="s">
        <v>104</v>
      </c>
      <c r="J64" s="30">
        <v>-32389.63</v>
      </c>
      <c r="K64" s="30">
        <v>0</v>
      </c>
      <c r="L64" s="33">
        <v>-32389.63</v>
      </c>
      <c r="M64" t="s">
        <v>185</v>
      </c>
      <c r="N64" t="s">
        <v>189</v>
      </c>
      <c r="O64" s="34" t="s">
        <v>404</v>
      </c>
      <c r="P64" t="s">
        <v>187</v>
      </c>
      <c r="Q64" t="s">
        <v>23</v>
      </c>
      <c r="R64" t="s">
        <v>23</v>
      </c>
      <c r="S64" t="s">
        <v>25</v>
      </c>
      <c r="T64" t="str">
        <f>_xlfn.XLOOKUP(Tabela14[[#This Row],[Categoria]],CATEGORIAS!$C:$C,CATEGORIAS!$D:$D,"")</f>
        <v>2.1 Despesas Diretas</v>
      </c>
    </row>
    <row r="65" spans="4:20" x14ac:dyDescent="0.25">
      <c r="D65" s="1">
        <v>46206</v>
      </c>
      <c r="E65" s="1">
        <v>46206</v>
      </c>
      <c r="F65" s="17">
        <v>46214</v>
      </c>
      <c r="G65" t="s">
        <v>184</v>
      </c>
      <c r="H65" t="s">
        <v>27</v>
      </c>
      <c r="I65" t="s">
        <v>104</v>
      </c>
      <c r="J65" s="30">
        <v>-13001.05</v>
      </c>
      <c r="K65" s="30">
        <v>0</v>
      </c>
      <c r="L65" s="33">
        <v>-13001.05</v>
      </c>
      <c r="M65" t="s">
        <v>185</v>
      </c>
      <c r="N65" t="s">
        <v>189</v>
      </c>
      <c r="O65" s="34" t="s">
        <v>405</v>
      </c>
      <c r="P65" t="s">
        <v>187</v>
      </c>
      <c r="Q65" t="s">
        <v>23</v>
      </c>
      <c r="R65" t="s">
        <v>23</v>
      </c>
      <c r="S65" t="s">
        <v>25</v>
      </c>
      <c r="T65" t="str">
        <f>_xlfn.XLOOKUP(Tabela14[[#This Row],[Categoria]],CATEGORIAS!$C:$C,CATEGORIAS!$D:$D,"")</f>
        <v>2.1 Despesas Diretas</v>
      </c>
    </row>
    <row r="66" spans="4:20" x14ac:dyDescent="0.25">
      <c r="D66" s="1">
        <v>46206</v>
      </c>
      <c r="E66" s="1">
        <v>46206</v>
      </c>
      <c r="F66" s="17">
        <v>46210</v>
      </c>
      <c r="G66" t="s">
        <v>184</v>
      </c>
      <c r="H66" t="s">
        <v>27</v>
      </c>
      <c r="I66" t="s">
        <v>91</v>
      </c>
      <c r="J66" s="30">
        <v>-13695.84</v>
      </c>
      <c r="K66" s="30">
        <v>0</v>
      </c>
      <c r="L66" s="33">
        <v>-13695.84</v>
      </c>
      <c r="M66" t="s">
        <v>185</v>
      </c>
      <c r="N66" t="s">
        <v>189</v>
      </c>
      <c r="O66" s="34" t="s">
        <v>410</v>
      </c>
      <c r="P66" t="s">
        <v>187</v>
      </c>
      <c r="Q66" t="s">
        <v>23</v>
      </c>
      <c r="R66" t="s">
        <v>23</v>
      </c>
      <c r="S66" t="s">
        <v>25</v>
      </c>
      <c r="T66" t="str">
        <f>_xlfn.XLOOKUP(Tabela14[[#This Row],[Categoria]],CATEGORIAS!$C:$C,CATEGORIAS!$D:$D,"")</f>
        <v>2.1 Despesas Diretas</v>
      </c>
    </row>
    <row r="67" spans="4:20" x14ac:dyDescent="0.25">
      <c r="D67" s="1">
        <v>46206</v>
      </c>
      <c r="E67" s="1">
        <v>46206</v>
      </c>
      <c r="F67" s="17">
        <v>46214</v>
      </c>
      <c r="G67" t="s">
        <v>184</v>
      </c>
      <c r="H67" t="s">
        <v>27</v>
      </c>
      <c r="I67" t="s">
        <v>95</v>
      </c>
      <c r="J67" s="30">
        <v>-124.8</v>
      </c>
      <c r="K67" s="30">
        <v>0</v>
      </c>
      <c r="L67" s="33">
        <v>-124.8</v>
      </c>
      <c r="M67" t="s">
        <v>185</v>
      </c>
      <c r="N67" t="s">
        <v>189</v>
      </c>
      <c r="O67" s="34" t="s">
        <v>406</v>
      </c>
      <c r="P67" t="s">
        <v>187</v>
      </c>
      <c r="Q67" t="s">
        <v>23</v>
      </c>
      <c r="R67" t="s">
        <v>23</v>
      </c>
      <c r="S67" t="s">
        <v>25</v>
      </c>
      <c r="T67" t="str">
        <f>_xlfn.XLOOKUP(Tabela14[[#This Row],[Categoria]],CATEGORIAS!$C:$C,CATEGORIAS!$D:$D,"")</f>
        <v>2.1 Despesas Diretas</v>
      </c>
    </row>
    <row r="68" spans="4:20" x14ac:dyDescent="0.25">
      <c r="D68" s="1">
        <v>46206</v>
      </c>
      <c r="E68" s="1">
        <v>46206</v>
      </c>
      <c r="F68" s="17">
        <v>46214</v>
      </c>
      <c r="G68" t="s">
        <v>184</v>
      </c>
      <c r="H68" t="s">
        <v>27</v>
      </c>
      <c r="I68" t="s">
        <v>94</v>
      </c>
      <c r="J68" s="30">
        <v>-480</v>
      </c>
      <c r="K68" s="30">
        <v>0</v>
      </c>
      <c r="L68" s="33">
        <v>-480</v>
      </c>
      <c r="M68" t="s">
        <v>185</v>
      </c>
      <c r="N68" t="s">
        <v>189</v>
      </c>
      <c r="O68" s="34" t="s">
        <v>409</v>
      </c>
      <c r="P68" t="s">
        <v>187</v>
      </c>
      <c r="Q68" t="s">
        <v>23</v>
      </c>
      <c r="R68" t="s">
        <v>23</v>
      </c>
      <c r="S68" t="s">
        <v>25</v>
      </c>
      <c r="T68" t="str">
        <f>_xlfn.XLOOKUP(Tabela14[[#This Row],[Categoria]],CATEGORIAS!$C:$C,CATEGORIAS!$D:$D,"")</f>
        <v>2.1 Despesas Diretas</v>
      </c>
    </row>
    <row r="69" spans="4:20" x14ac:dyDescent="0.25">
      <c r="D69" s="1">
        <v>46192</v>
      </c>
      <c r="E69" s="1">
        <v>46192</v>
      </c>
      <c r="F69" s="17">
        <v>46196</v>
      </c>
      <c r="G69" t="s">
        <v>184</v>
      </c>
      <c r="H69" t="s">
        <v>27</v>
      </c>
      <c r="I69" t="s">
        <v>91</v>
      </c>
      <c r="J69" s="30">
        <v>-9704.16</v>
      </c>
      <c r="K69" s="30">
        <v>0</v>
      </c>
      <c r="L69" s="33">
        <v>-9704.16</v>
      </c>
      <c r="M69" t="s">
        <v>185</v>
      </c>
      <c r="N69" t="s">
        <v>189</v>
      </c>
      <c r="O69" s="34" t="s">
        <v>410</v>
      </c>
      <c r="P69" t="s">
        <v>187</v>
      </c>
      <c r="Q69" t="s">
        <v>23</v>
      </c>
      <c r="R69" t="s">
        <v>23</v>
      </c>
      <c r="S69" t="s">
        <v>25</v>
      </c>
      <c r="T69" t="str">
        <f>_xlfn.XLOOKUP(Tabela14[[#This Row],[Categoria]],CATEGORIAS!$C:$C,CATEGORIAS!$D:$D,"")</f>
        <v>2.1 Despesas Diretas</v>
      </c>
    </row>
    <row r="70" spans="4:20" x14ac:dyDescent="0.25">
      <c r="D70" s="1">
        <v>46234</v>
      </c>
      <c r="E70" s="1">
        <v>46234</v>
      </c>
      <c r="F70" s="17">
        <v>46245</v>
      </c>
      <c r="G70" t="s">
        <v>184</v>
      </c>
      <c r="H70" t="s">
        <v>27</v>
      </c>
      <c r="I70" t="s">
        <v>104</v>
      </c>
      <c r="J70" s="30">
        <v>-32389.63</v>
      </c>
      <c r="K70" s="30">
        <v>0</v>
      </c>
      <c r="L70" s="33">
        <v>-32389.63</v>
      </c>
      <c r="M70" t="s">
        <v>185</v>
      </c>
      <c r="N70" t="s">
        <v>189</v>
      </c>
      <c r="O70" s="34" t="s">
        <v>404</v>
      </c>
      <c r="P70" t="s">
        <v>187</v>
      </c>
      <c r="Q70" t="s">
        <v>23</v>
      </c>
      <c r="R70" t="s">
        <v>23</v>
      </c>
      <c r="S70" t="s">
        <v>25</v>
      </c>
      <c r="T70" t="str">
        <f>_xlfn.XLOOKUP(Tabela14[[#This Row],[Categoria]],CATEGORIAS!$C:$C,CATEGORIAS!$D:$D,"")</f>
        <v>2.1 Despesas Diretas</v>
      </c>
    </row>
    <row r="71" spans="4:20" x14ac:dyDescent="0.25">
      <c r="D71" s="1">
        <v>46234</v>
      </c>
      <c r="E71" s="1">
        <v>46234</v>
      </c>
      <c r="F71" s="17">
        <v>46245</v>
      </c>
      <c r="G71" t="s">
        <v>184</v>
      </c>
      <c r="H71" t="s">
        <v>27</v>
      </c>
      <c r="I71" t="s">
        <v>104</v>
      </c>
      <c r="J71" s="30">
        <v>-13001.05</v>
      </c>
      <c r="K71" s="30">
        <v>0</v>
      </c>
      <c r="L71" s="33">
        <v>-13001.05</v>
      </c>
      <c r="M71" t="s">
        <v>185</v>
      </c>
      <c r="N71" t="s">
        <v>189</v>
      </c>
      <c r="O71" s="34" t="s">
        <v>405</v>
      </c>
      <c r="P71" t="s">
        <v>187</v>
      </c>
      <c r="Q71" t="s">
        <v>23</v>
      </c>
      <c r="R71" t="s">
        <v>23</v>
      </c>
      <c r="S71" t="s">
        <v>25</v>
      </c>
      <c r="T71" t="str">
        <f>_xlfn.XLOOKUP(Tabela14[[#This Row],[Categoria]],CATEGORIAS!$C:$C,CATEGORIAS!$D:$D,"")</f>
        <v>2.1 Despesas Diretas</v>
      </c>
    </row>
    <row r="72" spans="4:20" x14ac:dyDescent="0.25">
      <c r="D72" s="1">
        <v>46178</v>
      </c>
      <c r="E72" s="1">
        <v>46178</v>
      </c>
      <c r="F72" s="17">
        <v>46184</v>
      </c>
      <c r="G72" t="s">
        <v>184</v>
      </c>
      <c r="H72" t="s">
        <v>27</v>
      </c>
      <c r="I72" t="s">
        <v>104</v>
      </c>
      <c r="J72" s="30">
        <v>-25920</v>
      </c>
      <c r="K72" s="30">
        <v>0</v>
      </c>
      <c r="L72" s="33">
        <v>-25920</v>
      </c>
      <c r="M72" t="s">
        <v>185</v>
      </c>
      <c r="N72" t="s">
        <v>196</v>
      </c>
      <c r="O72" s="34" t="s">
        <v>411</v>
      </c>
      <c r="P72" t="s">
        <v>187</v>
      </c>
      <c r="Q72" t="s">
        <v>23</v>
      </c>
      <c r="R72" t="s">
        <v>23</v>
      </c>
      <c r="S72" t="s">
        <v>25</v>
      </c>
      <c r="T72" t="str">
        <f>_xlfn.XLOOKUP(Tabela14[[#This Row],[Categoria]],CATEGORIAS!$C:$C,CATEGORIAS!$D:$D,"")</f>
        <v>2.1 Despesas Diretas</v>
      </c>
    </row>
    <row r="73" spans="4:20" x14ac:dyDescent="0.25">
      <c r="D73" s="1">
        <v>46178</v>
      </c>
      <c r="E73" s="1">
        <v>46178</v>
      </c>
      <c r="F73" s="17">
        <v>46184</v>
      </c>
      <c r="G73" t="s">
        <v>184</v>
      </c>
      <c r="H73" t="s">
        <v>27</v>
      </c>
      <c r="I73" t="s">
        <v>94</v>
      </c>
      <c r="J73" s="30">
        <v>-4000</v>
      </c>
      <c r="K73" s="30">
        <v>0</v>
      </c>
      <c r="L73" s="33">
        <v>-4000</v>
      </c>
      <c r="M73" t="s">
        <v>185</v>
      </c>
      <c r="N73" t="s">
        <v>196</v>
      </c>
      <c r="O73" s="34" t="s">
        <v>412</v>
      </c>
      <c r="P73" t="s">
        <v>187</v>
      </c>
      <c r="Q73" t="s">
        <v>23</v>
      </c>
      <c r="R73" t="s">
        <v>23</v>
      </c>
      <c r="S73" t="s">
        <v>25</v>
      </c>
      <c r="T73" t="str">
        <f>_xlfn.XLOOKUP(Tabela14[[#This Row],[Categoria]],CATEGORIAS!$C:$C,CATEGORIAS!$D:$D,"")</f>
        <v>2.1 Despesas Diretas</v>
      </c>
    </row>
    <row r="74" spans="4:20" x14ac:dyDescent="0.25">
      <c r="D74" s="1">
        <v>46206</v>
      </c>
      <c r="E74" s="1">
        <v>46206</v>
      </c>
      <c r="F74" s="17">
        <v>46214</v>
      </c>
      <c r="G74" t="s">
        <v>184</v>
      </c>
      <c r="H74" t="s">
        <v>27</v>
      </c>
      <c r="I74" t="s">
        <v>104</v>
      </c>
      <c r="J74" s="30">
        <v>-25920</v>
      </c>
      <c r="K74" s="30">
        <v>0</v>
      </c>
      <c r="L74" s="33">
        <v>-25920</v>
      </c>
      <c r="M74" t="s">
        <v>185</v>
      </c>
      <c r="N74" t="s">
        <v>196</v>
      </c>
      <c r="O74" s="34" t="s">
        <v>411</v>
      </c>
      <c r="P74" t="s">
        <v>187</v>
      </c>
      <c r="Q74" t="s">
        <v>23</v>
      </c>
      <c r="R74" t="s">
        <v>23</v>
      </c>
      <c r="S74" t="s">
        <v>25</v>
      </c>
      <c r="T74" t="str">
        <f>_xlfn.XLOOKUP(Tabela14[[#This Row],[Categoria]],CATEGORIAS!$C:$C,CATEGORIAS!$D:$D,"")</f>
        <v>2.1 Despesas Diretas</v>
      </c>
    </row>
    <row r="75" spans="4:20" x14ac:dyDescent="0.25">
      <c r="D75" s="1">
        <v>46206</v>
      </c>
      <c r="E75" s="1">
        <v>46206</v>
      </c>
      <c r="F75" s="17">
        <v>46214</v>
      </c>
      <c r="G75" t="s">
        <v>184</v>
      </c>
      <c r="H75" t="s">
        <v>27</v>
      </c>
      <c r="I75" t="s">
        <v>94</v>
      </c>
      <c r="J75" s="30">
        <v>-4000</v>
      </c>
      <c r="K75" s="30">
        <v>0</v>
      </c>
      <c r="L75" s="33">
        <v>-4000</v>
      </c>
      <c r="M75" t="s">
        <v>185</v>
      </c>
      <c r="N75" t="s">
        <v>196</v>
      </c>
      <c r="O75" s="34" t="s">
        <v>412</v>
      </c>
      <c r="P75" t="s">
        <v>187</v>
      </c>
      <c r="Q75" t="s">
        <v>23</v>
      </c>
      <c r="R75" t="s">
        <v>23</v>
      </c>
      <c r="S75" t="s">
        <v>25</v>
      </c>
      <c r="T75" t="str">
        <f>_xlfn.XLOOKUP(Tabela14[[#This Row],[Categoria]],CATEGORIAS!$C:$C,CATEGORIAS!$D:$D,"")</f>
        <v>2.1 Despesas Diretas</v>
      </c>
    </row>
    <row r="76" spans="4:20" x14ac:dyDescent="0.25">
      <c r="D76" s="1">
        <v>46178</v>
      </c>
      <c r="E76" s="1">
        <v>46178</v>
      </c>
      <c r="F76" s="17">
        <v>46184</v>
      </c>
      <c r="G76" t="s">
        <v>184</v>
      </c>
      <c r="H76" t="s">
        <v>27</v>
      </c>
      <c r="I76" t="s">
        <v>104</v>
      </c>
      <c r="J76" s="30">
        <v>-30028.799999999999</v>
      </c>
      <c r="K76" s="30">
        <v>0</v>
      </c>
      <c r="L76" s="33">
        <v>-30028.799999999999</v>
      </c>
      <c r="M76" t="s">
        <v>185</v>
      </c>
      <c r="N76" t="s">
        <v>191</v>
      </c>
      <c r="O76" s="34" t="s">
        <v>413</v>
      </c>
      <c r="P76" t="s">
        <v>187</v>
      </c>
      <c r="Q76" t="s">
        <v>23</v>
      </c>
      <c r="R76" t="s">
        <v>23</v>
      </c>
      <c r="S76" t="s">
        <v>25</v>
      </c>
      <c r="T76" t="str">
        <f>_xlfn.XLOOKUP(Tabela14[[#This Row],[Categoria]],CATEGORIAS!$C:$C,CATEGORIAS!$D:$D,"")</f>
        <v>2.1 Despesas Diretas</v>
      </c>
    </row>
    <row r="77" spans="4:20" x14ac:dyDescent="0.25">
      <c r="D77" s="1">
        <v>46178</v>
      </c>
      <c r="E77" s="1">
        <v>46178</v>
      </c>
      <c r="F77" s="17">
        <v>46184</v>
      </c>
      <c r="G77" t="s">
        <v>184</v>
      </c>
      <c r="H77" t="s">
        <v>27</v>
      </c>
      <c r="I77" t="s">
        <v>94</v>
      </c>
      <c r="J77" s="30">
        <v>-166.4</v>
      </c>
      <c r="K77" s="30">
        <v>0</v>
      </c>
      <c r="L77" s="33">
        <v>-166.4</v>
      </c>
      <c r="M77" t="s">
        <v>185</v>
      </c>
      <c r="N77" t="s">
        <v>191</v>
      </c>
      <c r="O77" s="34" t="s">
        <v>403</v>
      </c>
      <c r="P77" t="s">
        <v>187</v>
      </c>
      <c r="Q77" t="s">
        <v>23</v>
      </c>
      <c r="R77" t="s">
        <v>23</v>
      </c>
      <c r="S77" t="s">
        <v>25</v>
      </c>
      <c r="T77" t="str">
        <f>_xlfn.XLOOKUP(Tabela14[[#This Row],[Categoria]],CATEGORIAS!$C:$C,CATEGORIAS!$D:$D,"")</f>
        <v>2.1 Despesas Diretas</v>
      </c>
    </row>
    <row r="78" spans="4:20" x14ac:dyDescent="0.25">
      <c r="D78" s="1">
        <v>46178</v>
      </c>
      <c r="E78" s="1">
        <v>46178</v>
      </c>
      <c r="F78" s="17">
        <v>46184</v>
      </c>
      <c r="G78" t="s">
        <v>184</v>
      </c>
      <c r="H78" t="s">
        <v>27</v>
      </c>
      <c r="I78" t="s">
        <v>94</v>
      </c>
      <c r="J78" s="31">
        <v>-812.8</v>
      </c>
      <c r="K78" s="31">
        <v>0</v>
      </c>
      <c r="L78" s="33">
        <v>-812.8</v>
      </c>
      <c r="M78" t="s">
        <v>185</v>
      </c>
      <c r="N78" t="s">
        <v>191</v>
      </c>
      <c r="O78" s="34" t="s">
        <v>407</v>
      </c>
      <c r="P78" t="s">
        <v>187</v>
      </c>
      <c r="Q78" t="s">
        <v>23</v>
      </c>
      <c r="R78" t="s">
        <v>23</v>
      </c>
      <c r="S78" t="s">
        <v>25</v>
      </c>
      <c r="T78" t="str">
        <f>_xlfn.XLOOKUP(Tabela14[[#This Row],[Categoria]],CATEGORIAS!$C:$C,CATEGORIAS!$D:$D,"")</f>
        <v>2.1 Despesas Diretas</v>
      </c>
    </row>
    <row r="79" spans="4:20" x14ac:dyDescent="0.25">
      <c r="D79" s="1">
        <v>46178</v>
      </c>
      <c r="E79" s="1">
        <v>46178</v>
      </c>
      <c r="F79" s="17">
        <v>46184</v>
      </c>
      <c r="G79" t="s">
        <v>184</v>
      </c>
      <c r="H79" t="s">
        <v>27</v>
      </c>
      <c r="I79" t="s">
        <v>94</v>
      </c>
      <c r="J79" s="30">
        <v>-1920</v>
      </c>
      <c r="K79" s="30">
        <v>0</v>
      </c>
      <c r="L79" s="33">
        <v>-1920</v>
      </c>
      <c r="M79" t="s">
        <v>185</v>
      </c>
      <c r="N79" t="s">
        <v>191</v>
      </c>
      <c r="O79" s="34" t="s">
        <v>409</v>
      </c>
      <c r="P79" t="s">
        <v>187</v>
      </c>
      <c r="Q79" t="s">
        <v>23</v>
      </c>
      <c r="R79" t="s">
        <v>23</v>
      </c>
      <c r="S79" t="s">
        <v>25</v>
      </c>
      <c r="T79" t="str">
        <f>_xlfn.XLOOKUP(Tabela14[[#This Row],[Categoria]],CATEGORIAS!$C:$C,CATEGORIAS!$D:$D,"")</f>
        <v>2.1 Despesas Diretas</v>
      </c>
    </row>
    <row r="80" spans="4:20" x14ac:dyDescent="0.25">
      <c r="D80" s="1">
        <v>46178</v>
      </c>
      <c r="E80" s="1">
        <v>46178</v>
      </c>
      <c r="F80" s="17">
        <v>46184</v>
      </c>
      <c r="G80" t="s">
        <v>184</v>
      </c>
      <c r="H80" t="s">
        <v>27</v>
      </c>
      <c r="I80" t="s">
        <v>104</v>
      </c>
      <c r="J80" s="30">
        <v>-8203.52</v>
      </c>
      <c r="K80" s="30">
        <v>0</v>
      </c>
      <c r="L80" s="33">
        <v>-8203.52</v>
      </c>
      <c r="M80" t="s">
        <v>185</v>
      </c>
      <c r="N80" t="s">
        <v>191</v>
      </c>
      <c r="O80" s="34" t="s">
        <v>414</v>
      </c>
      <c r="P80" t="s">
        <v>187</v>
      </c>
      <c r="Q80" t="s">
        <v>23</v>
      </c>
      <c r="R80" t="s">
        <v>23</v>
      </c>
      <c r="S80" t="s">
        <v>25</v>
      </c>
      <c r="T80" t="str">
        <f>_xlfn.XLOOKUP(Tabela14[[#This Row],[Categoria]],CATEGORIAS!$C:$C,CATEGORIAS!$D:$D,"")</f>
        <v>2.1 Despesas Diretas</v>
      </c>
    </row>
    <row r="81" spans="4:20" x14ac:dyDescent="0.25">
      <c r="D81" s="1">
        <v>46178</v>
      </c>
      <c r="E81" s="1">
        <v>46178</v>
      </c>
      <c r="F81" s="17">
        <v>46184</v>
      </c>
      <c r="G81" t="s">
        <v>184</v>
      </c>
      <c r="H81" t="s">
        <v>27</v>
      </c>
      <c r="I81" t="s">
        <v>94</v>
      </c>
      <c r="J81" s="30">
        <v>-1145.5999999999999</v>
      </c>
      <c r="K81" s="30">
        <v>0</v>
      </c>
      <c r="L81" s="33">
        <v>-1145.5999999999999</v>
      </c>
      <c r="M81" t="s">
        <v>185</v>
      </c>
      <c r="N81" t="s">
        <v>191</v>
      </c>
      <c r="O81" s="34" t="s">
        <v>408</v>
      </c>
      <c r="P81" t="s">
        <v>187</v>
      </c>
      <c r="Q81" t="s">
        <v>23</v>
      </c>
      <c r="R81" t="s">
        <v>23</v>
      </c>
      <c r="S81" t="s">
        <v>25</v>
      </c>
      <c r="T81" t="str">
        <f>_xlfn.XLOOKUP(Tabela14[[#This Row],[Categoria]],CATEGORIAS!$C:$C,CATEGORIAS!$D:$D,"")</f>
        <v>2.1 Despesas Diretas</v>
      </c>
    </row>
    <row r="82" spans="4:20" x14ac:dyDescent="0.25">
      <c r="D82" s="1">
        <v>46178</v>
      </c>
      <c r="E82" s="1">
        <v>46178</v>
      </c>
      <c r="F82" s="17">
        <v>46182</v>
      </c>
      <c r="G82" t="s">
        <v>184</v>
      </c>
      <c r="H82" t="s">
        <v>27</v>
      </c>
      <c r="I82" t="s">
        <v>91</v>
      </c>
      <c r="J82" s="30">
        <v>-3001.6</v>
      </c>
      <c r="K82" s="30">
        <v>0</v>
      </c>
      <c r="L82" s="33">
        <v>-3001.6</v>
      </c>
      <c r="M82" t="s">
        <v>185</v>
      </c>
      <c r="N82" t="s">
        <v>191</v>
      </c>
      <c r="O82" s="34" t="s">
        <v>415</v>
      </c>
      <c r="P82" t="s">
        <v>187</v>
      </c>
      <c r="Q82" t="s">
        <v>23</v>
      </c>
      <c r="R82" t="s">
        <v>23</v>
      </c>
      <c r="S82" t="s">
        <v>25</v>
      </c>
      <c r="T82" t="str">
        <f>_xlfn.XLOOKUP(Tabela14[[#This Row],[Categoria]],CATEGORIAS!$C:$C,CATEGORIAS!$D:$D,"")</f>
        <v>2.1 Despesas Diretas</v>
      </c>
    </row>
    <row r="83" spans="4:20" x14ac:dyDescent="0.25">
      <c r="D83" s="1">
        <v>46164</v>
      </c>
      <c r="E83" s="1">
        <v>46164</v>
      </c>
      <c r="F83" s="17">
        <v>46168</v>
      </c>
      <c r="G83" t="s">
        <v>184</v>
      </c>
      <c r="H83" t="s">
        <v>27</v>
      </c>
      <c r="I83" t="s">
        <v>91</v>
      </c>
      <c r="J83" s="30">
        <v>-2998.4</v>
      </c>
      <c r="K83" s="30">
        <v>0</v>
      </c>
      <c r="L83" s="33">
        <v>-2998.4</v>
      </c>
      <c r="M83" t="s">
        <v>185</v>
      </c>
      <c r="N83" t="s">
        <v>191</v>
      </c>
      <c r="O83" s="34" t="s">
        <v>415</v>
      </c>
      <c r="P83" t="s">
        <v>187</v>
      </c>
      <c r="Q83" t="s">
        <v>23</v>
      </c>
      <c r="R83" t="s">
        <v>23</v>
      </c>
      <c r="S83" t="s">
        <v>25</v>
      </c>
      <c r="T83" t="str">
        <f>_xlfn.XLOOKUP(Tabela14[[#This Row],[Categoria]],CATEGORIAS!$C:$C,CATEGORIAS!$D:$D,"")</f>
        <v>2.1 Despesas Diretas</v>
      </c>
    </row>
    <row r="84" spans="4:20" x14ac:dyDescent="0.25">
      <c r="D84" s="1">
        <v>46178</v>
      </c>
      <c r="E84" s="1">
        <v>46178</v>
      </c>
      <c r="F84" s="17">
        <v>46184</v>
      </c>
      <c r="G84" t="s">
        <v>184</v>
      </c>
      <c r="H84" t="s">
        <v>27</v>
      </c>
      <c r="I84" t="s">
        <v>94</v>
      </c>
      <c r="J84" s="30">
        <v>-1488</v>
      </c>
      <c r="K84" s="30">
        <v>0</v>
      </c>
      <c r="L84" s="33">
        <v>-1488</v>
      </c>
      <c r="M84" t="s">
        <v>185</v>
      </c>
      <c r="N84" t="s">
        <v>191</v>
      </c>
      <c r="O84" s="34" t="s">
        <v>416</v>
      </c>
      <c r="P84" t="s">
        <v>187</v>
      </c>
      <c r="Q84" t="s">
        <v>23</v>
      </c>
      <c r="R84" t="s">
        <v>23</v>
      </c>
      <c r="S84" t="s">
        <v>25</v>
      </c>
      <c r="T84" t="str">
        <f>_xlfn.XLOOKUP(Tabela14[[#This Row],[Categoria]],CATEGORIAS!$C:$C,CATEGORIAS!$D:$D,"")</f>
        <v>2.1 Despesas Diretas</v>
      </c>
    </row>
    <row r="85" spans="4:20" x14ac:dyDescent="0.25">
      <c r="D85" s="1">
        <v>46178</v>
      </c>
      <c r="E85" s="1">
        <v>46178</v>
      </c>
      <c r="F85" s="17">
        <v>46184</v>
      </c>
      <c r="G85" t="s">
        <v>184</v>
      </c>
      <c r="H85" t="s">
        <v>27</v>
      </c>
      <c r="I85" t="s">
        <v>94</v>
      </c>
      <c r="J85" s="30">
        <v>-540.79999999999995</v>
      </c>
      <c r="K85" s="30">
        <v>0</v>
      </c>
      <c r="L85" s="33">
        <v>-540.79999999999995</v>
      </c>
      <c r="M85" t="s">
        <v>185</v>
      </c>
      <c r="N85" t="s">
        <v>191</v>
      </c>
      <c r="O85" s="34" t="s">
        <v>406</v>
      </c>
      <c r="P85" t="s">
        <v>187</v>
      </c>
      <c r="Q85" t="s">
        <v>23</v>
      </c>
      <c r="R85" t="s">
        <v>23</v>
      </c>
      <c r="S85" t="s">
        <v>25</v>
      </c>
      <c r="T85" t="str">
        <f>_xlfn.XLOOKUP(Tabela14[[#This Row],[Categoria]],CATEGORIAS!$C:$C,CATEGORIAS!$D:$D,"")</f>
        <v>2.1 Despesas Diretas</v>
      </c>
    </row>
    <row r="86" spans="4:20" x14ac:dyDescent="0.25">
      <c r="D86" s="1">
        <v>46178</v>
      </c>
      <c r="E86" s="1">
        <v>46178</v>
      </c>
      <c r="F86" s="17">
        <v>46184</v>
      </c>
      <c r="G86" t="s">
        <v>184</v>
      </c>
      <c r="H86" t="s">
        <v>27</v>
      </c>
      <c r="I86" t="s">
        <v>104</v>
      </c>
      <c r="J86" s="30">
        <v>-4025.6</v>
      </c>
      <c r="K86" s="30">
        <v>0</v>
      </c>
      <c r="L86" s="33">
        <v>-4025.6</v>
      </c>
      <c r="M86" t="s">
        <v>185</v>
      </c>
      <c r="N86" t="s">
        <v>191</v>
      </c>
      <c r="O86" s="34" t="s">
        <v>417</v>
      </c>
      <c r="P86" t="s">
        <v>187</v>
      </c>
      <c r="Q86" t="s">
        <v>23</v>
      </c>
      <c r="R86" t="s">
        <v>23</v>
      </c>
      <c r="S86" t="s">
        <v>25</v>
      </c>
      <c r="T86" t="str">
        <f>_xlfn.XLOOKUP(Tabela14[[#This Row],[Categoria]],CATEGORIAS!$C:$C,CATEGORIAS!$D:$D,"")</f>
        <v>2.1 Despesas Diretas</v>
      </c>
    </row>
    <row r="87" spans="4:20" x14ac:dyDescent="0.25">
      <c r="D87" s="1">
        <v>46206</v>
      </c>
      <c r="E87" s="1">
        <v>46206</v>
      </c>
      <c r="F87" s="17">
        <v>46214</v>
      </c>
      <c r="G87" t="s">
        <v>184</v>
      </c>
      <c r="H87" t="s">
        <v>27</v>
      </c>
      <c r="I87" t="s">
        <v>104</v>
      </c>
      <c r="J87" s="30">
        <v>-29145.599999999999</v>
      </c>
      <c r="K87" s="30">
        <v>0</v>
      </c>
      <c r="L87" s="33">
        <v>-29145.599999999999</v>
      </c>
      <c r="M87" t="s">
        <v>185</v>
      </c>
      <c r="N87" t="s">
        <v>191</v>
      </c>
      <c r="O87" s="34" t="s">
        <v>413</v>
      </c>
      <c r="P87" t="s">
        <v>187</v>
      </c>
      <c r="Q87" t="s">
        <v>23</v>
      </c>
      <c r="R87" t="s">
        <v>23</v>
      </c>
      <c r="S87" t="s">
        <v>25</v>
      </c>
      <c r="T87" t="str">
        <f>_xlfn.XLOOKUP(Tabela14[[#This Row],[Categoria]],CATEGORIAS!$C:$C,CATEGORIAS!$D:$D,"")</f>
        <v>2.1 Despesas Diretas</v>
      </c>
    </row>
    <row r="88" spans="4:20" x14ac:dyDescent="0.25">
      <c r="D88" s="1">
        <v>46206</v>
      </c>
      <c r="E88" s="1">
        <v>46206</v>
      </c>
      <c r="F88" s="17">
        <v>46214</v>
      </c>
      <c r="G88" t="s">
        <v>184</v>
      </c>
      <c r="H88" t="s">
        <v>27</v>
      </c>
      <c r="I88" t="s">
        <v>104</v>
      </c>
      <c r="J88" s="30">
        <v>-7962.24</v>
      </c>
      <c r="K88" s="30">
        <v>0</v>
      </c>
      <c r="L88" s="33">
        <v>-7962.24</v>
      </c>
      <c r="M88" t="s">
        <v>185</v>
      </c>
      <c r="N88" t="s">
        <v>191</v>
      </c>
      <c r="O88" s="34" t="s">
        <v>414</v>
      </c>
      <c r="P88" t="s">
        <v>187</v>
      </c>
      <c r="Q88" t="s">
        <v>23</v>
      </c>
      <c r="R88" t="s">
        <v>23</v>
      </c>
      <c r="S88" t="s">
        <v>25</v>
      </c>
      <c r="T88" t="str">
        <f>_xlfn.XLOOKUP(Tabela14[[#This Row],[Categoria]],CATEGORIAS!$C:$C,CATEGORIAS!$D:$D,"")</f>
        <v>2.1 Despesas Diretas</v>
      </c>
    </row>
    <row r="89" spans="4:20" x14ac:dyDescent="0.25">
      <c r="D89" s="1">
        <v>46206</v>
      </c>
      <c r="E89" s="1">
        <v>46206</v>
      </c>
      <c r="F89" s="17">
        <v>46214</v>
      </c>
      <c r="G89" t="s">
        <v>184</v>
      </c>
      <c r="H89" t="s">
        <v>27</v>
      </c>
      <c r="I89" t="s">
        <v>104</v>
      </c>
      <c r="J89" s="30">
        <v>-3907.2</v>
      </c>
      <c r="K89" s="30">
        <v>0</v>
      </c>
      <c r="L89" s="33">
        <v>-3907.2</v>
      </c>
      <c r="M89" t="s">
        <v>185</v>
      </c>
      <c r="N89" t="s">
        <v>191</v>
      </c>
      <c r="O89" s="34" t="s">
        <v>417</v>
      </c>
      <c r="P89" t="s">
        <v>187</v>
      </c>
      <c r="Q89" t="s">
        <v>23</v>
      </c>
      <c r="R89" t="s">
        <v>23</v>
      </c>
      <c r="S89" t="s">
        <v>25</v>
      </c>
      <c r="T89" t="str">
        <f>_xlfn.XLOOKUP(Tabela14[[#This Row],[Categoria]],CATEGORIAS!$C:$C,CATEGORIAS!$D:$D,"")</f>
        <v>2.1 Despesas Diretas</v>
      </c>
    </row>
    <row r="90" spans="4:20" x14ac:dyDescent="0.25">
      <c r="D90" s="1">
        <v>46206</v>
      </c>
      <c r="E90" s="1">
        <v>46206</v>
      </c>
      <c r="F90" s="17">
        <v>46214</v>
      </c>
      <c r="G90" t="s">
        <v>184</v>
      </c>
      <c r="H90" t="s">
        <v>27</v>
      </c>
      <c r="I90" t="s">
        <v>94</v>
      </c>
      <c r="J90" s="30">
        <v>-812.8</v>
      </c>
      <c r="K90" s="30">
        <v>0</v>
      </c>
      <c r="L90" s="33">
        <v>-812.8</v>
      </c>
      <c r="M90" t="s">
        <v>185</v>
      </c>
      <c r="N90" t="s">
        <v>191</v>
      </c>
      <c r="O90" s="34" t="s">
        <v>407</v>
      </c>
      <c r="P90" t="s">
        <v>187</v>
      </c>
      <c r="Q90" t="s">
        <v>23</v>
      </c>
      <c r="R90" t="s">
        <v>23</v>
      </c>
      <c r="S90" t="s">
        <v>25</v>
      </c>
      <c r="T90" t="str">
        <f>_xlfn.XLOOKUP(Tabela14[[#This Row],[Categoria]],CATEGORIAS!$C:$C,CATEGORIAS!$D:$D,"")</f>
        <v>2.1 Despesas Diretas</v>
      </c>
    </row>
    <row r="91" spans="4:20" x14ac:dyDescent="0.25">
      <c r="D91" s="1">
        <v>46206</v>
      </c>
      <c r="E91" s="1">
        <v>46206</v>
      </c>
      <c r="F91" s="17">
        <v>46210</v>
      </c>
      <c r="G91" t="s">
        <v>184</v>
      </c>
      <c r="H91" t="s">
        <v>27</v>
      </c>
      <c r="I91" t="s">
        <v>91</v>
      </c>
      <c r="J91" s="30">
        <v>-15217.6</v>
      </c>
      <c r="K91" s="30">
        <v>0</v>
      </c>
      <c r="L91" s="33">
        <v>-15217.6</v>
      </c>
      <c r="M91" t="s">
        <v>185</v>
      </c>
      <c r="N91" t="s">
        <v>191</v>
      </c>
      <c r="O91" s="34" t="s">
        <v>415</v>
      </c>
      <c r="P91" t="s">
        <v>187</v>
      </c>
      <c r="Q91" t="s">
        <v>23</v>
      </c>
      <c r="R91" t="s">
        <v>23</v>
      </c>
      <c r="S91" t="s">
        <v>25</v>
      </c>
      <c r="T91" t="str">
        <f>_xlfn.XLOOKUP(Tabela14[[#This Row],[Categoria]],CATEGORIAS!$C:$C,CATEGORIAS!$D:$D,"")</f>
        <v>2.1 Despesas Diretas</v>
      </c>
    </row>
    <row r="92" spans="4:20" x14ac:dyDescent="0.25">
      <c r="D92" s="1">
        <v>46206</v>
      </c>
      <c r="E92" s="1">
        <v>46206</v>
      </c>
      <c r="F92" s="17">
        <v>46214</v>
      </c>
      <c r="G92" t="s">
        <v>184</v>
      </c>
      <c r="H92" t="s">
        <v>27</v>
      </c>
      <c r="I92" t="s">
        <v>94</v>
      </c>
      <c r="J92" s="30">
        <v>-540.79999999999995</v>
      </c>
      <c r="K92" s="30">
        <v>0</v>
      </c>
      <c r="L92" s="33">
        <v>-540.79999999999995</v>
      </c>
      <c r="M92" t="s">
        <v>185</v>
      </c>
      <c r="N92" t="s">
        <v>191</v>
      </c>
      <c r="O92" s="34" t="s">
        <v>406</v>
      </c>
      <c r="P92" t="s">
        <v>187</v>
      </c>
      <c r="Q92" t="s">
        <v>23</v>
      </c>
      <c r="R92" t="s">
        <v>23</v>
      </c>
      <c r="S92" t="s">
        <v>25</v>
      </c>
      <c r="T92" t="str">
        <f>_xlfn.XLOOKUP(Tabela14[[#This Row],[Categoria]],CATEGORIAS!$C:$C,CATEGORIAS!$D:$D,"")</f>
        <v>2.1 Despesas Diretas</v>
      </c>
    </row>
    <row r="93" spans="4:20" x14ac:dyDescent="0.25">
      <c r="D93" s="1">
        <v>46206</v>
      </c>
      <c r="E93" s="1">
        <v>46206</v>
      </c>
      <c r="F93" s="17">
        <v>46214</v>
      </c>
      <c r="G93" t="s">
        <v>184</v>
      </c>
      <c r="H93" t="s">
        <v>27</v>
      </c>
      <c r="I93" t="s">
        <v>94</v>
      </c>
      <c r="J93" s="30">
        <v>-1920</v>
      </c>
      <c r="K93" s="30">
        <v>0</v>
      </c>
      <c r="L93" s="33">
        <v>-1920</v>
      </c>
      <c r="M93" t="s">
        <v>185</v>
      </c>
      <c r="N93" t="s">
        <v>191</v>
      </c>
      <c r="O93" s="34" t="s">
        <v>409</v>
      </c>
      <c r="P93" t="s">
        <v>187</v>
      </c>
      <c r="Q93" t="s">
        <v>23</v>
      </c>
      <c r="R93" t="s">
        <v>23</v>
      </c>
      <c r="S93" t="s">
        <v>25</v>
      </c>
      <c r="T93" t="str">
        <f>_xlfn.XLOOKUP(Tabela14[[#This Row],[Categoria]],CATEGORIAS!$C:$C,CATEGORIAS!$D:$D,"")</f>
        <v>2.1 Despesas Diretas</v>
      </c>
    </row>
    <row r="94" spans="4:20" x14ac:dyDescent="0.25">
      <c r="D94" s="1">
        <v>46206</v>
      </c>
      <c r="E94" s="1">
        <v>46206</v>
      </c>
      <c r="F94" s="17">
        <v>46214</v>
      </c>
      <c r="G94" t="s">
        <v>184</v>
      </c>
      <c r="H94" t="s">
        <v>27</v>
      </c>
      <c r="I94" t="s">
        <v>94</v>
      </c>
      <c r="J94" s="30">
        <v>-166.4</v>
      </c>
      <c r="K94" s="30">
        <v>0</v>
      </c>
      <c r="L94" s="33">
        <v>-166.4</v>
      </c>
      <c r="M94" t="s">
        <v>185</v>
      </c>
      <c r="N94" t="s">
        <v>191</v>
      </c>
      <c r="O94" s="34" t="s">
        <v>403</v>
      </c>
      <c r="P94" t="s">
        <v>187</v>
      </c>
      <c r="Q94" t="s">
        <v>23</v>
      </c>
      <c r="R94" t="s">
        <v>23</v>
      </c>
      <c r="S94" t="s">
        <v>25</v>
      </c>
      <c r="T94" t="str">
        <f>_xlfn.XLOOKUP(Tabela14[[#This Row],[Categoria]],CATEGORIAS!$C:$C,CATEGORIAS!$D:$D,"")</f>
        <v>2.1 Despesas Diretas</v>
      </c>
    </row>
    <row r="95" spans="4:20" x14ac:dyDescent="0.25">
      <c r="D95" s="1">
        <v>46206</v>
      </c>
      <c r="E95" s="1">
        <v>46206</v>
      </c>
      <c r="F95" s="17">
        <v>46214</v>
      </c>
      <c r="G95" t="s">
        <v>184</v>
      </c>
      <c r="H95" t="s">
        <v>27</v>
      </c>
      <c r="I95" t="s">
        <v>94</v>
      </c>
      <c r="J95" s="30">
        <v>-1145.5999999999999</v>
      </c>
      <c r="K95" s="30">
        <v>0</v>
      </c>
      <c r="L95" s="33">
        <v>-1145.5999999999999</v>
      </c>
      <c r="M95" t="s">
        <v>185</v>
      </c>
      <c r="N95" t="s">
        <v>191</v>
      </c>
      <c r="O95" s="34" t="s">
        <v>408</v>
      </c>
      <c r="P95" t="s">
        <v>187</v>
      </c>
      <c r="Q95" t="s">
        <v>23</v>
      </c>
      <c r="R95" t="s">
        <v>23</v>
      </c>
      <c r="S95" t="s">
        <v>25</v>
      </c>
      <c r="T95" t="str">
        <f>_xlfn.XLOOKUP(Tabela14[[#This Row],[Categoria]],CATEGORIAS!$C:$C,CATEGORIAS!$D:$D,"")</f>
        <v>2.1 Despesas Diretas</v>
      </c>
    </row>
    <row r="96" spans="4:20" x14ac:dyDescent="0.25">
      <c r="D96" s="1">
        <v>46206</v>
      </c>
      <c r="E96" s="1">
        <v>46206</v>
      </c>
      <c r="F96" s="17">
        <v>46214</v>
      </c>
      <c r="G96" t="s">
        <v>184</v>
      </c>
      <c r="H96" t="s">
        <v>27</v>
      </c>
      <c r="I96" t="s">
        <v>94</v>
      </c>
      <c r="J96" s="30">
        <v>-1488</v>
      </c>
      <c r="K96" s="30">
        <v>0</v>
      </c>
      <c r="L96" s="33">
        <v>-1488</v>
      </c>
      <c r="M96" t="s">
        <v>185</v>
      </c>
      <c r="N96" t="s">
        <v>191</v>
      </c>
      <c r="O96" s="34" t="s">
        <v>416</v>
      </c>
      <c r="P96" t="s">
        <v>187</v>
      </c>
      <c r="Q96" t="s">
        <v>23</v>
      </c>
      <c r="R96" t="s">
        <v>23</v>
      </c>
      <c r="S96" t="s">
        <v>25</v>
      </c>
      <c r="T96" t="str">
        <f>_xlfn.XLOOKUP(Tabela14[[#This Row],[Categoria]],CATEGORIAS!$C:$C,CATEGORIAS!$D:$D,"")</f>
        <v>2.1 Despesas Diretas</v>
      </c>
    </row>
    <row r="97" spans="4:20" x14ac:dyDescent="0.25">
      <c r="D97" s="1">
        <v>46192</v>
      </c>
      <c r="E97" s="1">
        <v>46192</v>
      </c>
      <c r="F97" s="17">
        <v>46196</v>
      </c>
      <c r="G97" t="s">
        <v>184</v>
      </c>
      <c r="H97" t="s">
        <v>27</v>
      </c>
      <c r="I97" t="s">
        <v>91</v>
      </c>
      <c r="J97" s="30">
        <v>-10782.4</v>
      </c>
      <c r="K97" s="30">
        <v>0</v>
      </c>
      <c r="L97" s="33">
        <v>-10782.4</v>
      </c>
      <c r="M97" t="s">
        <v>185</v>
      </c>
      <c r="N97" t="s">
        <v>191</v>
      </c>
      <c r="O97" s="34" t="s">
        <v>415</v>
      </c>
      <c r="P97" t="s">
        <v>187</v>
      </c>
      <c r="Q97" t="s">
        <v>23</v>
      </c>
      <c r="R97" t="s">
        <v>23</v>
      </c>
      <c r="S97" t="s">
        <v>25</v>
      </c>
      <c r="T97" t="str">
        <f>_xlfn.XLOOKUP(Tabela14[[#This Row],[Categoria]],CATEGORIAS!$C:$C,CATEGORIAS!$D:$D,"")</f>
        <v>2.1 Despesas Diretas</v>
      </c>
    </row>
    <row r="98" spans="4:20" x14ac:dyDescent="0.25">
      <c r="D98" s="1">
        <v>46234</v>
      </c>
      <c r="E98" s="1">
        <v>46234</v>
      </c>
      <c r="F98" s="17">
        <v>46245</v>
      </c>
      <c r="G98" t="s">
        <v>184</v>
      </c>
      <c r="H98" t="s">
        <v>27</v>
      </c>
      <c r="I98" t="s">
        <v>104</v>
      </c>
      <c r="J98" s="30">
        <v>-7962.24</v>
      </c>
      <c r="K98" s="30">
        <v>0</v>
      </c>
      <c r="L98" s="33">
        <v>-7962.24</v>
      </c>
      <c r="M98" t="s">
        <v>185</v>
      </c>
      <c r="N98" t="s">
        <v>191</v>
      </c>
      <c r="O98" s="34" t="s">
        <v>414</v>
      </c>
      <c r="P98" t="s">
        <v>187</v>
      </c>
      <c r="Q98" t="s">
        <v>23</v>
      </c>
      <c r="R98" t="s">
        <v>23</v>
      </c>
      <c r="S98" t="s">
        <v>25</v>
      </c>
      <c r="T98" t="str">
        <f>_xlfn.XLOOKUP(Tabela14[[#This Row],[Categoria]],CATEGORIAS!$C:$C,CATEGORIAS!$D:$D,"")</f>
        <v>2.1 Despesas Diretas</v>
      </c>
    </row>
    <row r="99" spans="4:20" x14ac:dyDescent="0.25">
      <c r="D99" s="1">
        <v>46234</v>
      </c>
      <c r="E99" s="1">
        <v>46234</v>
      </c>
      <c r="F99" s="17">
        <v>46245</v>
      </c>
      <c r="G99" t="s">
        <v>184</v>
      </c>
      <c r="H99" t="s">
        <v>27</v>
      </c>
      <c r="I99" t="s">
        <v>104</v>
      </c>
      <c r="J99" s="30">
        <v>-3907.2</v>
      </c>
      <c r="K99" s="30">
        <v>0</v>
      </c>
      <c r="L99" s="33">
        <v>-3907.2</v>
      </c>
      <c r="M99" t="s">
        <v>185</v>
      </c>
      <c r="N99" t="s">
        <v>191</v>
      </c>
      <c r="O99" s="34" t="s">
        <v>417</v>
      </c>
      <c r="P99" t="s">
        <v>187</v>
      </c>
      <c r="Q99" t="s">
        <v>23</v>
      </c>
      <c r="R99" t="s">
        <v>23</v>
      </c>
      <c r="S99" t="s">
        <v>25</v>
      </c>
      <c r="T99" t="str">
        <f>_xlfn.XLOOKUP(Tabela14[[#This Row],[Categoria]],CATEGORIAS!$C:$C,CATEGORIAS!$D:$D,"")</f>
        <v>2.1 Despesas Diretas</v>
      </c>
    </row>
    <row r="100" spans="4:20" x14ac:dyDescent="0.25">
      <c r="D100" s="1">
        <v>46234</v>
      </c>
      <c r="E100" s="1">
        <v>46234</v>
      </c>
      <c r="F100" s="17">
        <v>46245</v>
      </c>
      <c r="G100" t="s">
        <v>184</v>
      </c>
      <c r="H100" t="s">
        <v>27</v>
      </c>
      <c r="I100" t="s">
        <v>104</v>
      </c>
      <c r="J100" s="30">
        <v>-29145.599999999999</v>
      </c>
      <c r="K100" s="30">
        <v>0</v>
      </c>
      <c r="L100" s="33">
        <v>-29145.599999999999</v>
      </c>
      <c r="M100" t="s">
        <v>185</v>
      </c>
      <c r="N100" t="s">
        <v>191</v>
      </c>
      <c r="O100" s="34" t="s">
        <v>413</v>
      </c>
      <c r="P100" t="s">
        <v>187</v>
      </c>
      <c r="Q100" t="s">
        <v>23</v>
      </c>
      <c r="R100" t="s">
        <v>23</v>
      </c>
      <c r="S100" t="s">
        <v>25</v>
      </c>
      <c r="T100" t="str">
        <f>_xlfn.XLOOKUP(Tabela14[[#This Row],[Categoria]],CATEGORIAS!$C:$C,CATEGORIAS!$D:$D,"")</f>
        <v>2.1 Despesas Diretas</v>
      </c>
    </row>
    <row r="101" spans="4:20" x14ac:dyDescent="0.25">
      <c r="D101" s="1">
        <v>46150</v>
      </c>
      <c r="E101" s="1">
        <v>46150</v>
      </c>
      <c r="F101" s="17">
        <v>46182</v>
      </c>
      <c r="G101" t="s">
        <v>184</v>
      </c>
      <c r="H101" t="s">
        <v>27</v>
      </c>
      <c r="I101" t="s">
        <v>91</v>
      </c>
      <c r="J101" s="30">
        <v>-5404.15</v>
      </c>
      <c r="K101" s="30">
        <v>0</v>
      </c>
      <c r="L101" s="33">
        <v>-8642.0300000000007</v>
      </c>
      <c r="M101" t="s">
        <v>185</v>
      </c>
      <c r="N101" t="s">
        <v>199</v>
      </c>
      <c r="O101" s="34" t="s">
        <v>418</v>
      </c>
      <c r="P101" t="s">
        <v>187</v>
      </c>
      <c r="Q101" t="s">
        <v>23</v>
      </c>
      <c r="R101" t="s">
        <v>23</v>
      </c>
      <c r="S101" t="s">
        <v>25</v>
      </c>
      <c r="T101" t="str">
        <f>_xlfn.XLOOKUP(Tabela14[[#This Row],[Categoria]],CATEGORIAS!$C:$C,CATEGORIAS!$D:$D,"")</f>
        <v>2.1 Despesas Diretas</v>
      </c>
    </row>
    <row r="102" spans="4:20" x14ac:dyDescent="0.25">
      <c r="D102" s="1">
        <v>46136</v>
      </c>
      <c r="E102" s="1">
        <v>46136</v>
      </c>
      <c r="F102" s="17">
        <v>46196</v>
      </c>
      <c r="G102" t="s">
        <v>184</v>
      </c>
      <c r="H102" t="s">
        <v>27</v>
      </c>
      <c r="I102" t="s">
        <v>91</v>
      </c>
      <c r="J102" s="31">
        <v>-5398.39</v>
      </c>
      <c r="K102" s="30">
        <v>0</v>
      </c>
      <c r="L102" s="33">
        <v>-8642.0300000000007</v>
      </c>
      <c r="M102" t="s">
        <v>185</v>
      </c>
      <c r="N102" t="s">
        <v>199</v>
      </c>
      <c r="O102" s="34" t="s">
        <v>418</v>
      </c>
      <c r="P102" t="s">
        <v>187</v>
      </c>
      <c r="Q102" t="s">
        <v>23</v>
      </c>
      <c r="R102" t="s">
        <v>23</v>
      </c>
      <c r="S102" t="s">
        <v>25</v>
      </c>
      <c r="T102" t="str">
        <f>_xlfn.XLOOKUP(Tabela14[[#This Row],[Categoria]],CATEGORIAS!$C:$C,CATEGORIAS!$D:$D,"")</f>
        <v>2.1 Despesas Diretas</v>
      </c>
    </row>
    <row r="103" spans="4:20" x14ac:dyDescent="0.25">
      <c r="D103" s="1">
        <v>46150</v>
      </c>
      <c r="E103" s="1">
        <v>46150</v>
      </c>
      <c r="F103" s="17">
        <v>46168</v>
      </c>
      <c r="G103" t="s">
        <v>184</v>
      </c>
      <c r="H103" t="s">
        <v>27</v>
      </c>
      <c r="I103" t="s">
        <v>105</v>
      </c>
      <c r="J103" s="31">
        <v>-14035.2</v>
      </c>
      <c r="K103" s="31">
        <v>0</v>
      </c>
      <c r="L103" s="33">
        <v>-14035.2</v>
      </c>
      <c r="M103" t="s">
        <v>185</v>
      </c>
      <c r="N103" t="s">
        <v>199</v>
      </c>
      <c r="O103" s="34" t="s">
        <v>419</v>
      </c>
      <c r="P103" t="s">
        <v>187</v>
      </c>
      <c r="Q103" t="s">
        <v>23</v>
      </c>
      <c r="R103" t="s">
        <v>23</v>
      </c>
      <c r="S103" t="s">
        <v>25</v>
      </c>
      <c r="T103" t="str">
        <f>_xlfn.XLOOKUP(Tabela14[[#This Row],[Categoria]],CATEGORIAS!$C:$C,CATEGORIAS!$D:$D,"")</f>
        <v>2.1 Despesas Diretas</v>
      </c>
    </row>
    <row r="104" spans="4:20" x14ac:dyDescent="0.25">
      <c r="D104" s="1">
        <v>46150</v>
      </c>
      <c r="E104" s="1">
        <v>46150</v>
      </c>
      <c r="F104" s="17">
        <v>46150</v>
      </c>
      <c r="G104" t="s">
        <v>184</v>
      </c>
      <c r="H104" t="s">
        <v>27</v>
      </c>
      <c r="I104" t="s">
        <v>105</v>
      </c>
      <c r="J104" s="31">
        <v>-1936.64</v>
      </c>
      <c r="K104" s="31">
        <v>0</v>
      </c>
      <c r="L104" s="33">
        <v>-1936.64</v>
      </c>
      <c r="M104" t="s">
        <v>185</v>
      </c>
      <c r="N104" t="s">
        <v>199</v>
      </c>
      <c r="O104" s="34" t="s">
        <v>420</v>
      </c>
      <c r="P104" t="s">
        <v>187</v>
      </c>
      <c r="Q104" t="s">
        <v>23</v>
      </c>
      <c r="R104" t="s">
        <v>23</v>
      </c>
      <c r="S104" t="s">
        <v>25</v>
      </c>
      <c r="T104" t="str">
        <f>_xlfn.XLOOKUP(Tabela14[[#This Row],[Categoria]],CATEGORIAS!$C:$C,CATEGORIAS!$D:$D,"")</f>
        <v>2.1 Despesas Diretas</v>
      </c>
    </row>
    <row r="105" spans="4:20" x14ac:dyDescent="0.25">
      <c r="D105" s="1">
        <v>46178</v>
      </c>
      <c r="E105" s="1">
        <v>46178</v>
      </c>
      <c r="F105" s="17">
        <v>46210</v>
      </c>
      <c r="G105" t="s">
        <v>184</v>
      </c>
      <c r="H105" t="s">
        <v>27</v>
      </c>
      <c r="I105" t="s">
        <v>91</v>
      </c>
      <c r="J105" s="30">
        <v>-12819.01</v>
      </c>
      <c r="K105" s="30">
        <v>0</v>
      </c>
      <c r="L105" s="33">
        <v>-20164.73</v>
      </c>
      <c r="M105" t="s">
        <v>185</v>
      </c>
      <c r="N105" t="s">
        <v>199</v>
      </c>
      <c r="O105" s="34" t="s">
        <v>418</v>
      </c>
      <c r="P105" t="s">
        <v>187</v>
      </c>
      <c r="Q105" t="s">
        <v>23</v>
      </c>
      <c r="R105" t="s">
        <v>23</v>
      </c>
      <c r="S105" t="s">
        <v>25</v>
      </c>
      <c r="T105" t="str">
        <f>_xlfn.XLOOKUP(Tabela14[[#This Row],[Categoria]],CATEGORIAS!$C:$C,CATEGORIAS!$D:$D,"")</f>
        <v>2.1 Despesas Diretas</v>
      </c>
    </row>
    <row r="106" spans="4:20" x14ac:dyDescent="0.25">
      <c r="D106" s="1">
        <v>46164</v>
      </c>
      <c r="E106" s="1">
        <v>46164</v>
      </c>
      <c r="F106" s="17">
        <v>46224</v>
      </c>
      <c r="G106" t="s">
        <v>184</v>
      </c>
      <c r="H106" t="s">
        <v>27</v>
      </c>
      <c r="I106" t="s">
        <v>91</v>
      </c>
      <c r="J106" s="30">
        <v>-19412.87</v>
      </c>
      <c r="K106" s="30">
        <v>0</v>
      </c>
      <c r="L106" s="33">
        <v>-20164.73</v>
      </c>
      <c r="M106" t="s">
        <v>185</v>
      </c>
      <c r="N106" t="s">
        <v>199</v>
      </c>
      <c r="O106" s="34" t="s">
        <v>418</v>
      </c>
      <c r="P106" t="s">
        <v>187</v>
      </c>
      <c r="Q106" t="s">
        <v>23</v>
      </c>
      <c r="R106" t="s">
        <v>23</v>
      </c>
      <c r="S106" t="s">
        <v>25</v>
      </c>
      <c r="T106" t="str">
        <f>_xlfn.XLOOKUP(Tabela14[[#This Row],[Categoria]],CATEGORIAS!$C:$C,CATEGORIAS!$D:$D,"")</f>
        <v>2.1 Despesas Diretas</v>
      </c>
    </row>
    <row r="107" spans="4:20" x14ac:dyDescent="0.25">
      <c r="D107" s="1">
        <v>46178</v>
      </c>
      <c r="E107" s="1">
        <v>46178</v>
      </c>
      <c r="F107" s="17">
        <v>46178</v>
      </c>
      <c r="G107" t="s">
        <v>184</v>
      </c>
      <c r="H107" t="s">
        <v>27</v>
      </c>
      <c r="I107" t="s">
        <v>105</v>
      </c>
      <c r="J107" s="30">
        <v>-1879.68</v>
      </c>
      <c r="K107" s="30">
        <v>0</v>
      </c>
      <c r="L107" s="33">
        <v>-1879.68</v>
      </c>
      <c r="M107" t="s">
        <v>185</v>
      </c>
      <c r="N107" t="s">
        <v>199</v>
      </c>
      <c r="O107" s="34" t="s">
        <v>420</v>
      </c>
      <c r="P107" t="s">
        <v>187</v>
      </c>
      <c r="Q107" t="s">
        <v>23</v>
      </c>
      <c r="R107" t="s">
        <v>23</v>
      </c>
      <c r="S107" t="s">
        <v>25</v>
      </c>
      <c r="T107" t="str">
        <f>_xlfn.XLOOKUP(Tabela14[[#This Row],[Categoria]],CATEGORIAS!$C:$C,CATEGORIAS!$D:$D,"")</f>
        <v>2.1 Despesas Diretas</v>
      </c>
    </row>
    <row r="108" spans="4:20" x14ac:dyDescent="0.25">
      <c r="D108" s="1">
        <v>46178</v>
      </c>
      <c r="E108" s="1">
        <v>46178</v>
      </c>
      <c r="F108" s="17">
        <v>46199</v>
      </c>
      <c r="G108" t="s">
        <v>184</v>
      </c>
      <c r="H108" t="s">
        <v>27</v>
      </c>
      <c r="I108" t="s">
        <v>105</v>
      </c>
      <c r="J108" s="30">
        <v>-13622.4</v>
      </c>
      <c r="K108" s="30">
        <v>0</v>
      </c>
      <c r="L108" s="33">
        <v>-13622.4</v>
      </c>
      <c r="M108" t="s">
        <v>185</v>
      </c>
      <c r="N108" t="s">
        <v>199</v>
      </c>
      <c r="O108" s="34" t="s">
        <v>419</v>
      </c>
      <c r="P108" t="s">
        <v>187</v>
      </c>
      <c r="Q108" t="s">
        <v>23</v>
      </c>
      <c r="R108" t="s">
        <v>23</v>
      </c>
      <c r="S108" t="s">
        <v>25</v>
      </c>
      <c r="T108" t="str">
        <f>_xlfn.XLOOKUP(Tabela14[[#This Row],[Categoria]],CATEGORIAS!$C:$C,CATEGORIAS!$D:$D,"")</f>
        <v>2.1 Despesas Diretas</v>
      </c>
    </row>
    <row r="109" spans="4:20" x14ac:dyDescent="0.25">
      <c r="D109" s="1">
        <v>46206</v>
      </c>
      <c r="E109" s="1">
        <v>46206</v>
      </c>
      <c r="F109" s="17">
        <v>46206</v>
      </c>
      <c r="G109" t="s">
        <v>184</v>
      </c>
      <c r="H109" t="s">
        <v>27</v>
      </c>
      <c r="I109" t="s">
        <v>105</v>
      </c>
      <c r="J109" s="30">
        <v>-1879.68</v>
      </c>
      <c r="K109" s="30">
        <v>0</v>
      </c>
      <c r="L109" s="33">
        <v>-1879.68</v>
      </c>
      <c r="M109" t="s">
        <v>185</v>
      </c>
      <c r="N109" t="s">
        <v>199</v>
      </c>
      <c r="O109" s="34" t="s">
        <v>420</v>
      </c>
      <c r="P109" t="s">
        <v>187</v>
      </c>
      <c r="Q109" t="s">
        <v>23</v>
      </c>
      <c r="R109" t="s">
        <v>23</v>
      </c>
      <c r="S109" t="s">
        <v>25</v>
      </c>
      <c r="T109" t="str">
        <f>_xlfn.XLOOKUP(Tabela14[[#This Row],[Categoria]],CATEGORIAS!$C:$C,CATEGORIAS!$D:$D,"")</f>
        <v>2.1 Despesas Diretas</v>
      </c>
    </row>
    <row r="110" spans="4:20" x14ac:dyDescent="0.25">
      <c r="D110" s="1">
        <v>46206</v>
      </c>
      <c r="E110" s="1">
        <v>46206</v>
      </c>
      <c r="F110" s="17">
        <v>46229</v>
      </c>
      <c r="G110" t="s">
        <v>184</v>
      </c>
      <c r="H110" t="s">
        <v>27</v>
      </c>
      <c r="I110" t="s">
        <v>105</v>
      </c>
      <c r="J110" s="31">
        <v>-13622.4</v>
      </c>
      <c r="K110" s="31">
        <v>0</v>
      </c>
      <c r="L110" s="33">
        <v>-13622.4</v>
      </c>
      <c r="M110" t="s">
        <v>185</v>
      </c>
      <c r="N110" t="s">
        <v>199</v>
      </c>
      <c r="O110" s="34" t="s">
        <v>419</v>
      </c>
      <c r="P110" t="s">
        <v>187</v>
      </c>
      <c r="Q110" t="s">
        <v>23</v>
      </c>
      <c r="R110" t="s">
        <v>23</v>
      </c>
      <c r="S110" t="s">
        <v>25</v>
      </c>
      <c r="T110" t="str">
        <f>_xlfn.XLOOKUP(Tabela14[[#This Row],[Categoria]],CATEGORIAS!$C:$C,CATEGORIAS!$D:$D,"")</f>
        <v>2.1 Despesas Diretas</v>
      </c>
    </row>
    <row r="111" spans="4:20" x14ac:dyDescent="0.25">
      <c r="D111" s="1">
        <v>46192</v>
      </c>
      <c r="E111" s="1">
        <v>46192</v>
      </c>
      <c r="F111" s="17">
        <v>46196</v>
      </c>
      <c r="G111" t="s">
        <v>184</v>
      </c>
      <c r="H111" t="s">
        <v>27</v>
      </c>
      <c r="I111" t="s">
        <v>91</v>
      </c>
      <c r="J111" s="31">
        <v>-14579.1</v>
      </c>
      <c r="K111" s="31">
        <v>0</v>
      </c>
      <c r="L111" s="33">
        <v>0</v>
      </c>
      <c r="M111" t="s">
        <v>185</v>
      </c>
      <c r="N111" t="s">
        <v>199</v>
      </c>
      <c r="O111" s="34" t="s">
        <v>418</v>
      </c>
      <c r="P111" t="s">
        <v>187</v>
      </c>
      <c r="Q111" t="s">
        <v>23</v>
      </c>
      <c r="R111" t="s">
        <v>23</v>
      </c>
      <c r="S111" t="s">
        <v>25</v>
      </c>
      <c r="T111" t="str">
        <f>_xlfn.XLOOKUP(Tabela14[[#This Row],[Categoria]],CATEGORIAS!$C:$C,CATEGORIAS!$D:$D,"")</f>
        <v>2.1 Despesas Diretas</v>
      </c>
    </row>
    <row r="112" spans="4:20" x14ac:dyDescent="0.25">
      <c r="F112" s="17">
        <v>46140</v>
      </c>
      <c r="G112" t="s">
        <v>184</v>
      </c>
      <c r="H112" t="s">
        <v>27</v>
      </c>
      <c r="I112" t="s">
        <v>90</v>
      </c>
      <c r="J112" s="31">
        <v>-1516.8000000000002</v>
      </c>
      <c r="K112" s="31"/>
      <c r="L112" s="33">
        <v>-1516.8000000000002</v>
      </c>
      <c r="M112" t="s">
        <v>185</v>
      </c>
      <c r="N112" t="s">
        <v>216</v>
      </c>
      <c r="O112" s="34" t="s">
        <v>355</v>
      </c>
      <c r="P112" t="s">
        <v>187</v>
      </c>
      <c r="Q112" t="s">
        <v>23</v>
      </c>
      <c r="R112" t="s">
        <v>23</v>
      </c>
      <c r="S112" t="s">
        <v>25</v>
      </c>
      <c r="T112" t="str">
        <f>_xlfn.XLOOKUP(Tabela14[[#This Row],[Categoria]],CATEGORIAS!$C:$C,CATEGORIAS!$D:$D,"")</f>
        <v>2.1 Despesas Diretas</v>
      </c>
    </row>
    <row r="113" spans="6:20" x14ac:dyDescent="0.25">
      <c r="F113" s="17">
        <v>46140</v>
      </c>
      <c r="G113" t="s">
        <v>184</v>
      </c>
      <c r="H113" t="s">
        <v>27</v>
      </c>
      <c r="I113" t="s">
        <v>90</v>
      </c>
      <c r="J113" s="31">
        <v>-507.73333333333335</v>
      </c>
      <c r="L113" s="33">
        <v>-507.73333333333335</v>
      </c>
      <c r="M113" t="s">
        <v>185</v>
      </c>
      <c r="N113" t="s">
        <v>216</v>
      </c>
      <c r="O113" s="34" t="s">
        <v>356</v>
      </c>
      <c r="P113" t="s">
        <v>187</v>
      </c>
      <c r="Q113" t="s">
        <v>23</v>
      </c>
      <c r="R113" t="s">
        <v>23</v>
      </c>
      <c r="S113" t="s">
        <v>25</v>
      </c>
      <c r="T113" t="str">
        <f>_xlfn.XLOOKUP(Tabela14[[#This Row],[Categoria]],CATEGORIAS!$C:$C,CATEGORIAS!$D:$D,"")</f>
        <v>2.1 Despesas Diretas</v>
      </c>
    </row>
    <row r="114" spans="6:20" x14ac:dyDescent="0.25">
      <c r="F114" s="17">
        <v>46140</v>
      </c>
      <c r="G114" t="s">
        <v>184</v>
      </c>
      <c r="H114" t="s">
        <v>27</v>
      </c>
      <c r="I114" t="s">
        <v>90</v>
      </c>
      <c r="J114" s="30">
        <v>-373.33333333333331</v>
      </c>
      <c r="L114" s="33">
        <v>-373.33333333333331</v>
      </c>
      <c r="M114" t="s">
        <v>185</v>
      </c>
      <c r="N114" t="s">
        <v>216</v>
      </c>
      <c r="O114" s="34" t="s">
        <v>357</v>
      </c>
      <c r="P114" t="s">
        <v>187</v>
      </c>
      <c r="Q114" t="s">
        <v>23</v>
      </c>
      <c r="R114" t="s">
        <v>23</v>
      </c>
      <c r="S114" t="s">
        <v>25</v>
      </c>
      <c r="T114" t="str">
        <f>_xlfn.XLOOKUP(Tabela14[[#This Row],[Categoria]],CATEGORIAS!$C:$C,CATEGORIAS!$D:$D,"")</f>
        <v>2.1 Despesas Diretas</v>
      </c>
    </row>
    <row r="115" spans="6:20" x14ac:dyDescent="0.25">
      <c r="F115" s="17">
        <v>46140</v>
      </c>
      <c r="G115" t="s">
        <v>184</v>
      </c>
      <c r="H115" t="s">
        <v>27</v>
      </c>
      <c r="I115" t="s">
        <v>90</v>
      </c>
      <c r="J115" s="31">
        <v>-1578.6666666666667</v>
      </c>
      <c r="L115" s="33">
        <v>-1578.6666666666667</v>
      </c>
      <c r="M115" t="s">
        <v>185</v>
      </c>
      <c r="N115" t="s">
        <v>216</v>
      </c>
      <c r="O115" s="34" t="s">
        <v>358</v>
      </c>
      <c r="P115" t="s">
        <v>187</v>
      </c>
      <c r="Q115" t="s">
        <v>23</v>
      </c>
      <c r="R115" t="s">
        <v>23</v>
      </c>
      <c r="S115" t="s">
        <v>25</v>
      </c>
      <c r="T115" t="str">
        <f>_xlfn.XLOOKUP(Tabela14[[#This Row],[Categoria]],CATEGORIAS!$C:$C,CATEGORIAS!$D:$D,"")</f>
        <v>2.1 Despesas Diretas</v>
      </c>
    </row>
    <row r="116" spans="6:20" x14ac:dyDescent="0.25">
      <c r="F116" s="17">
        <v>46140</v>
      </c>
      <c r="G116" t="s">
        <v>184</v>
      </c>
      <c r="H116" t="s">
        <v>27</v>
      </c>
      <c r="I116" t="s">
        <v>90</v>
      </c>
      <c r="J116" s="31">
        <v>-1277.4399999999998</v>
      </c>
      <c r="L116" s="33">
        <v>-1277.4399999999998</v>
      </c>
      <c r="M116" t="s">
        <v>185</v>
      </c>
      <c r="N116" t="s">
        <v>216</v>
      </c>
      <c r="O116" s="34" t="s">
        <v>359</v>
      </c>
      <c r="P116" t="s">
        <v>187</v>
      </c>
      <c r="Q116" t="s">
        <v>23</v>
      </c>
      <c r="R116" t="s">
        <v>23</v>
      </c>
      <c r="S116" t="s">
        <v>25</v>
      </c>
      <c r="T116" t="str">
        <f>_xlfn.XLOOKUP(Tabela14[[#This Row],[Categoria]],CATEGORIAS!$C:$C,CATEGORIAS!$D:$D,"")</f>
        <v>2.1 Despesas Diretas</v>
      </c>
    </row>
    <row r="117" spans="6:20" x14ac:dyDescent="0.25">
      <c r="F117" s="17">
        <v>46140</v>
      </c>
      <c r="G117" t="s">
        <v>184</v>
      </c>
      <c r="H117" t="s">
        <v>27</v>
      </c>
      <c r="I117" t="s">
        <v>90</v>
      </c>
      <c r="J117" s="31">
        <v>-181.33333333333334</v>
      </c>
      <c r="L117" s="33">
        <v>-181.33333333333334</v>
      </c>
      <c r="M117" t="s">
        <v>185</v>
      </c>
      <c r="N117" t="s">
        <v>216</v>
      </c>
      <c r="O117" s="34" t="s">
        <v>360</v>
      </c>
      <c r="P117" t="s">
        <v>187</v>
      </c>
      <c r="Q117" t="s">
        <v>23</v>
      </c>
      <c r="R117" t="s">
        <v>23</v>
      </c>
      <c r="S117" t="s">
        <v>25</v>
      </c>
      <c r="T117" t="str">
        <f>_xlfn.XLOOKUP(Tabela14[[#This Row],[Categoria]],CATEGORIAS!$C:$C,CATEGORIAS!$D:$D,"")</f>
        <v>2.1 Despesas Diretas</v>
      </c>
    </row>
    <row r="118" spans="6:20" x14ac:dyDescent="0.25">
      <c r="F118" s="17">
        <v>46140</v>
      </c>
      <c r="G118" t="s">
        <v>184</v>
      </c>
      <c r="H118" t="s">
        <v>27</v>
      </c>
      <c r="I118" t="s">
        <v>90</v>
      </c>
      <c r="J118" s="30">
        <v>-181.33333333333334</v>
      </c>
      <c r="L118" s="33">
        <v>-181.33333333333334</v>
      </c>
      <c r="M118" t="s">
        <v>185</v>
      </c>
      <c r="N118" t="s">
        <v>216</v>
      </c>
      <c r="O118" s="34" t="s">
        <v>361</v>
      </c>
      <c r="P118" t="s">
        <v>187</v>
      </c>
      <c r="Q118" t="s">
        <v>23</v>
      </c>
      <c r="R118" t="s">
        <v>23</v>
      </c>
      <c r="S118" t="s">
        <v>25</v>
      </c>
      <c r="T118" t="str">
        <f>_xlfn.XLOOKUP(Tabela14[[#This Row],[Categoria]],CATEGORIAS!$C:$C,CATEGORIAS!$D:$D,"")</f>
        <v>2.1 Despesas Diretas</v>
      </c>
    </row>
    <row r="119" spans="6:20" x14ac:dyDescent="0.25">
      <c r="F119" s="17">
        <v>46140</v>
      </c>
      <c r="G119" t="s">
        <v>184</v>
      </c>
      <c r="H119" t="s">
        <v>27</v>
      </c>
      <c r="I119" t="s">
        <v>90</v>
      </c>
      <c r="J119" s="31">
        <v>-221.86666666666667</v>
      </c>
      <c r="L119" s="33">
        <v>-221.86666666666667</v>
      </c>
      <c r="M119" t="s">
        <v>185</v>
      </c>
      <c r="N119" t="s">
        <v>216</v>
      </c>
      <c r="O119" s="34" t="s">
        <v>362</v>
      </c>
      <c r="P119" t="s">
        <v>187</v>
      </c>
      <c r="Q119" t="s">
        <v>23</v>
      </c>
      <c r="R119" t="s">
        <v>23</v>
      </c>
      <c r="S119" t="s">
        <v>25</v>
      </c>
      <c r="T119" t="str">
        <f>_xlfn.XLOOKUP(Tabela14[[#This Row],[Categoria]],CATEGORIAS!$C:$C,CATEGORIAS!$D:$D,"")</f>
        <v>2.1 Despesas Diretas</v>
      </c>
    </row>
    <row r="120" spans="6:20" x14ac:dyDescent="0.25">
      <c r="F120" s="17">
        <v>46140</v>
      </c>
      <c r="G120" t="s">
        <v>184</v>
      </c>
      <c r="H120" t="s">
        <v>27</v>
      </c>
      <c r="I120" t="s">
        <v>90</v>
      </c>
      <c r="J120" s="30">
        <v>-61.866666666666667</v>
      </c>
      <c r="L120" s="33">
        <v>-61.866666666666667</v>
      </c>
      <c r="M120" t="s">
        <v>185</v>
      </c>
      <c r="N120" t="s">
        <v>216</v>
      </c>
      <c r="O120" s="34" t="s">
        <v>363</v>
      </c>
      <c r="P120" t="s">
        <v>187</v>
      </c>
      <c r="Q120" t="s">
        <v>23</v>
      </c>
      <c r="R120" t="s">
        <v>23</v>
      </c>
      <c r="S120" t="s">
        <v>25</v>
      </c>
      <c r="T120" t="str">
        <f>_xlfn.XLOOKUP(Tabela14[[#This Row],[Categoria]],CATEGORIAS!$C:$C,CATEGORIAS!$D:$D,"")</f>
        <v>2.1 Despesas Diretas</v>
      </c>
    </row>
    <row r="121" spans="6:20" x14ac:dyDescent="0.25">
      <c r="F121" s="17">
        <v>46140</v>
      </c>
      <c r="G121" t="s">
        <v>184</v>
      </c>
      <c r="H121" t="s">
        <v>27</v>
      </c>
      <c r="I121" t="s">
        <v>90</v>
      </c>
      <c r="J121" s="31">
        <v>-201.6</v>
      </c>
      <c r="L121" s="33">
        <v>-201.6</v>
      </c>
      <c r="M121" t="s">
        <v>185</v>
      </c>
      <c r="N121" t="s">
        <v>216</v>
      </c>
      <c r="O121" s="34" t="s">
        <v>364</v>
      </c>
      <c r="P121" t="s">
        <v>187</v>
      </c>
      <c r="Q121" t="s">
        <v>23</v>
      </c>
      <c r="R121" t="s">
        <v>23</v>
      </c>
      <c r="S121" t="s">
        <v>25</v>
      </c>
      <c r="T121" t="str">
        <f>_xlfn.XLOOKUP(Tabela14[[#This Row],[Categoria]],CATEGORIAS!$C:$C,CATEGORIAS!$D:$D,"")</f>
        <v>2.1 Despesas Diretas</v>
      </c>
    </row>
    <row r="122" spans="6:20" x14ac:dyDescent="0.25">
      <c r="F122" s="17">
        <v>46140</v>
      </c>
      <c r="G122" t="s">
        <v>184</v>
      </c>
      <c r="H122" t="s">
        <v>27</v>
      </c>
      <c r="I122" t="s">
        <v>90</v>
      </c>
      <c r="J122" s="31">
        <v>-76.8</v>
      </c>
      <c r="L122" s="33">
        <v>-76.8</v>
      </c>
      <c r="M122" t="s">
        <v>185</v>
      </c>
      <c r="N122" t="s">
        <v>216</v>
      </c>
      <c r="O122" s="34" t="s">
        <v>365</v>
      </c>
      <c r="P122" t="s">
        <v>187</v>
      </c>
      <c r="Q122" t="s">
        <v>23</v>
      </c>
      <c r="R122" t="s">
        <v>23</v>
      </c>
      <c r="S122" t="s">
        <v>25</v>
      </c>
      <c r="T122" t="str">
        <f>_xlfn.XLOOKUP(Tabela14[[#This Row],[Categoria]],CATEGORIAS!$C:$C,CATEGORIAS!$D:$D,"")</f>
        <v>2.1 Despesas Diretas</v>
      </c>
    </row>
    <row r="123" spans="6:20" x14ac:dyDescent="0.25">
      <c r="F123" s="17">
        <v>46140</v>
      </c>
      <c r="G123" t="s">
        <v>184</v>
      </c>
      <c r="H123" t="s">
        <v>27</v>
      </c>
      <c r="I123" t="s">
        <v>90</v>
      </c>
      <c r="J123" s="31">
        <v>0</v>
      </c>
      <c r="L123" s="33">
        <v>0</v>
      </c>
      <c r="M123" t="s">
        <v>185</v>
      </c>
      <c r="N123" t="s">
        <v>216</v>
      </c>
      <c r="O123" s="34" t="s">
        <v>366</v>
      </c>
      <c r="P123" t="s">
        <v>187</v>
      </c>
      <c r="Q123" t="s">
        <v>23</v>
      </c>
      <c r="R123" t="s">
        <v>23</v>
      </c>
      <c r="S123" t="s">
        <v>25</v>
      </c>
      <c r="T123" t="str">
        <f>_xlfn.XLOOKUP(Tabela14[[#This Row],[Categoria]],CATEGORIAS!$C:$C,CATEGORIAS!$D:$D,"")</f>
        <v>2.1 Despesas Diretas</v>
      </c>
    </row>
    <row r="124" spans="6:20" x14ac:dyDescent="0.25">
      <c r="F124" s="17">
        <v>46140</v>
      </c>
      <c r="G124" t="s">
        <v>184</v>
      </c>
      <c r="H124" t="s">
        <v>27</v>
      </c>
      <c r="I124" t="s">
        <v>90</v>
      </c>
      <c r="J124" s="30">
        <v>-424.5333333333333</v>
      </c>
      <c r="L124" s="33">
        <v>-424.5333333333333</v>
      </c>
      <c r="M124" t="s">
        <v>185</v>
      </c>
      <c r="N124" t="s">
        <v>216</v>
      </c>
      <c r="O124" s="34" t="s">
        <v>367</v>
      </c>
      <c r="P124" t="s">
        <v>187</v>
      </c>
      <c r="Q124" t="s">
        <v>23</v>
      </c>
      <c r="R124" t="s">
        <v>23</v>
      </c>
      <c r="S124" t="s">
        <v>25</v>
      </c>
      <c r="T124" t="str">
        <f>_xlfn.XLOOKUP(Tabela14[[#This Row],[Categoria]],CATEGORIAS!$C:$C,CATEGORIAS!$D:$D,"")</f>
        <v>2.1 Despesas Diretas</v>
      </c>
    </row>
    <row r="125" spans="6:20" x14ac:dyDescent="0.25">
      <c r="F125" s="17">
        <v>46140</v>
      </c>
      <c r="G125" t="s">
        <v>184</v>
      </c>
      <c r="H125" t="s">
        <v>27</v>
      </c>
      <c r="I125" t="s">
        <v>90</v>
      </c>
      <c r="J125" s="30">
        <v>-424.5333333333333</v>
      </c>
      <c r="L125" s="33">
        <v>-424.5333333333333</v>
      </c>
      <c r="M125" t="s">
        <v>185</v>
      </c>
      <c r="N125" t="s">
        <v>216</v>
      </c>
      <c r="O125" s="34" t="s">
        <v>368</v>
      </c>
      <c r="P125" t="s">
        <v>187</v>
      </c>
      <c r="Q125" t="s">
        <v>23</v>
      </c>
      <c r="R125" t="s">
        <v>23</v>
      </c>
      <c r="S125" t="s">
        <v>25</v>
      </c>
      <c r="T125" t="str">
        <f>_xlfn.XLOOKUP(Tabela14[[#This Row],[Categoria]],CATEGORIAS!$C:$C,CATEGORIAS!$D:$D,"")</f>
        <v>2.1 Despesas Diretas</v>
      </c>
    </row>
    <row r="126" spans="6:20" x14ac:dyDescent="0.25">
      <c r="F126" s="17">
        <v>46140</v>
      </c>
      <c r="G126" t="s">
        <v>184</v>
      </c>
      <c r="H126" t="s">
        <v>27</v>
      </c>
      <c r="I126" t="s">
        <v>90</v>
      </c>
      <c r="J126" s="30">
        <v>0</v>
      </c>
      <c r="L126" s="33">
        <v>0</v>
      </c>
      <c r="M126" t="s">
        <v>185</v>
      </c>
      <c r="N126" t="s">
        <v>216</v>
      </c>
      <c r="O126" s="34" t="s">
        <v>369</v>
      </c>
      <c r="P126" t="s">
        <v>187</v>
      </c>
      <c r="Q126" t="s">
        <v>23</v>
      </c>
      <c r="R126" t="s">
        <v>23</v>
      </c>
      <c r="S126" t="s">
        <v>25</v>
      </c>
      <c r="T126" t="str">
        <f>_xlfn.XLOOKUP(Tabela14[[#This Row],[Categoria]],CATEGORIAS!$C:$C,CATEGORIAS!$D:$D,"")</f>
        <v>2.1 Despesas Diretas</v>
      </c>
    </row>
    <row r="127" spans="6:20" x14ac:dyDescent="0.25">
      <c r="F127" s="17">
        <v>46140</v>
      </c>
      <c r="G127" t="s">
        <v>184</v>
      </c>
      <c r="H127" t="s">
        <v>27</v>
      </c>
      <c r="I127" t="s">
        <v>90</v>
      </c>
      <c r="J127" s="30">
        <v>-1574.3999999999999</v>
      </c>
      <c r="L127" s="33">
        <v>-1574.3999999999999</v>
      </c>
      <c r="M127" t="s">
        <v>185</v>
      </c>
      <c r="N127" t="s">
        <v>216</v>
      </c>
      <c r="O127" s="34" t="s">
        <v>370</v>
      </c>
      <c r="P127" t="s">
        <v>187</v>
      </c>
      <c r="Q127" t="s">
        <v>23</v>
      </c>
      <c r="R127" t="s">
        <v>23</v>
      </c>
      <c r="S127" t="s">
        <v>25</v>
      </c>
      <c r="T127" t="str">
        <f>_xlfn.XLOOKUP(Tabela14[[#This Row],[Categoria]],CATEGORIAS!$C:$C,CATEGORIAS!$D:$D,"")</f>
        <v>2.1 Despesas Diretas</v>
      </c>
    </row>
    <row r="128" spans="6:20" x14ac:dyDescent="0.25">
      <c r="F128" s="17">
        <v>46140</v>
      </c>
      <c r="G128" t="s">
        <v>184</v>
      </c>
      <c r="H128" t="s">
        <v>27</v>
      </c>
      <c r="I128" t="s">
        <v>90</v>
      </c>
      <c r="J128" s="30">
        <v>-61.866666666666667</v>
      </c>
      <c r="L128" s="33">
        <v>-61.866666666666667</v>
      </c>
      <c r="M128" t="s">
        <v>185</v>
      </c>
      <c r="N128" t="s">
        <v>216</v>
      </c>
      <c r="O128" s="34" t="s">
        <v>371</v>
      </c>
      <c r="P128" t="s">
        <v>187</v>
      </c>
      <c r="Q128" t="s">
        <v>23</v>
      </c>
      <c r="R128" t="s">
        <v>23</v>
      </c>
      <c r="S128" t="s">
        <v>25</v>
      </c>
      <c r="T128" t="str">
        <f>_xlfn.XLOOKUP(Tabela14[[#This Row],[Categoria]],CATEGORIAS!$C:$C,CATEGORIAS!$D:$D,"")</f>
        <v>2.1 Despesas Diretas</v>
      </c>
    </row>
    <row r="129" spans="6:20" x14ac:dyDescent="0.25">
      <c r="F129" s="17">
        <v>46140</v>
      </c>
      <c r="G129" t="s">
        <v>184</v>
      </c>
      <c r="H129" t="s">
        <v>27</v>
      </c>
      <c r="I129" t="s">
        <v>90</v>
      </c>
      <c r="J129" s="30">
        <v>-61.866666666666667</v>
      </c>
      <c r="L129" s="33">
        <v>-61.866666666666667</v>
      </c>
      <c r="M129" t="s">
        <v>185</v>
      </c>
      <c r="N129" t="s">
        <v>216</v>
      </c>
      <c r="O129" s="34" t="s">
        <v>321</v>
      </c>
      <c r="P129" t="s">
        <v>187</v>
      </c>
      <c r="Q129" t="s">
        <v>23</v>
      </c>
      <c r="R129" t="s">
        <v>23</v>
      </c>
      <c r="S129" t="s">
        <v>25</v>
      </c>
      <c r="T129" t="str">
        <f>_xlfn.XLOOKUP(Tabela14[[#This Row],[Categoria]],CATEGORIAS!$C:$C,CATEGORIAS!$D:$D,"")</f>
        <v>2.1 Despesas Diretas</v>
      </c>
    </row>
    <row r="130" spans="6:20" x14ac:dyDescent="0.25">
      <c r="F130" s="17">
        <v>46140</v>
      </c>
      <c r="G130" t="s">
        <v>184</v>
      </c>
      <c r="H130" t="s">
        <v>27</v>
      </c>
      <c r="I130" t="s">
        <v>90</v>
      </c>
      <c r="J130" s="31">
        <v>-635.73333333333335</v>
      </c>
      <c r="L130" s="33">
        <v>-635.73333333333335</v>
      </c>
      <c r="M130" t="s">
        <v>185</v>
      </c>
      <c r="N130" t="s">
        <v>216</v>
      </c>
      <c r="O130" s="34" t="s">
        <v>372</v>
      </c>
      <c r="P130" t="s">
        <v>187</v>
      </c>
      <c r="Q130" t="s">
        <v>23</v>
      </c>
      <c r="R130" t="s">
        <v>23</v>
      </c>
      <c r="S130" t="s">
        <v>25</v>
      </c>
      <c r="T130" t="str">
        <f>_xlfn.XLOOKUP(Tabela14[[#This Row],[Categoria]],CATEGORIAS!$C:$C,CATEGORIAS!$D:$D,"")</f>
        <v>2.1 Despesas Diretas</v>
      </c>
    </row>
    <row r="131" spans="6:20" x14ac:dyDescent="0.25">
      <c r="F131" s="17">
        <v>46140</v>
      </c>
      <c r="G131" t="s">
        <v>184</v>
      </c>
      <c r="H131" t="s">
        <v>27</v>
      </c>
      <c r="I131" t="s">
        <v>90</v>
      </c>
      <c r="J131" s="30">
        <v>-360.5333333333333</v>
      </c>
      <c r="L131" s="33">
        <v>-360.5333333333333</v>
      </c>
      <c r="M131" t="s">
        <v>185</v>
      </c>
      <c r="N131" t="s">
        <v>216</v>
      </c>
      <c r="O131" s="34" t="s">
        <v>373</v>
      </c>
      <c r="P131" t="s">
        <v>187</v>
      </c>
      <c r="Q131" t="s">
        <v>23</v>
      </c>
      <c r="R131" t="s">
        <v>23</v>
      </c>
      <c r="S131" t="s">
        <v>25</v>
      </c>
      <c r="T131" t="str">
        <f>_xlfn.XLOOKUP(Tabela14[[#This Row],[Categoria]],CATEGORIAS!$C:$C,CATEGORIAS!$D:$D,"")</f>
        <v>2.1 Despesas Diretas</v>
      </c>
    </row>
    <row r="132" spans="6:20" x14ac:dyDescent="0.25">
      <c r="F132" s="17">
        <v>46140</v>
      </c>
      <c r="G132" t="s">
        <v>184</v>
      </c>
      <c r="H132" t="s">
        <v>27</v>
      </c>
      <c r="I132" t="s">
        <v>90</v>
      </c>
      <c r="J132" s="31">
        <v>-305.06666666666666</v>
      </c>
      <c r="L132" s="33">
        <v>-305.06666666666666</v>
      </c>
      <c r="M132" t="s">
        <v>185</v>
      </c>
      <c r="N132" t="s">
        <v>216</v>
      </c>
      <c r="O132" s="34" t="s">
        <v>374</v>
      </c>
      <c r="P132" t="s">
        <v>187</v>
      </c>
      <c r="Q132" t="s">
        <v>23</v>
      </c>
      <c r="R132" t="s">
        <v>23</v>
      </c>
      <c r="S132" t="s">
        <v>25</v>
      </c>
      <c r="T132" t="str">
        <f>_xlfn.XLOOKUP(Tabela14[[#This Row],[Categoria]],CATEGORIAS!$C:$C,CATEGORIAS!$D:$D,"")</f>
        <v>2.1 Despesas Diretas</v>
      </c>
    </row>
    <row r="133" spans="6:20" x14ac:dyDescent="0.25">
      <c r="F133" s="17">
        <v>46140</v>
      </c>
      <c r="G133" t="s">
        <v>184</v>
      </c>
      <c r="H133" t="s">
        <v>27</v>
      </c>
      <c r="I133" t="s">
        <v>90</v>
      </c>
      <c r="J133" s="30">
        <v>-23.466666666666669</v>
      </c>
      <c r="L133" s="33">
        <v>-23.466666666666669</v>
      </c>
      <c r="M133" t="s">
        <v>185</v>
      </c>
      <c r="N133" t="s">
        <v>216</v>
      </c>
      <c r="O133" s="34" t="s">
        <v>375</v>
      </c>
      <c r="P133" t="s">
        <v>187</v>
      </c>
      <c r="Q133" t="s">
        <v>23</v>
      </c>
      <c r="R133" t="s">
        <v>23</v>
      </c>
      <c r="S133" t="s">
        <v>25</v>
      </c>
      <c r="T133" t="str">
        <f>_xlfn.XLOOKUP(Tabela14[[#This Row],[Categoria]],CATEGORIAS!$C:$C,CATEGORIAS!$D:$D,"")</f>
        <v>2.1 Despesas Diretas</v>
      </c>
    </row>
    <row r="134" spans="6:20" x14ac:dyDescent="0.25">
      <c r="F134" s="17">
        <v>46140</v>
      </c>
      <c r="G134" t="s">
        <v>184</v>
      </c>
      <c r="H134" t="s">
        <v>27</v>
      </c>
      <c r="I134" t="s">
        <v>90</v>
      </c>
      <c r="J134" s="30">
        <v>-956.44444444444446</v>
      </c>
      <c r="L134" s="33">
        <v>-956.44444444444446</v>
      </c>
      <c r="M134" t="s">
        <v>185</v>
      </c>
      <c r="N134" t="s">
        <v>216</v>
      </c>
      <c r="O134" s="34" t="s">
        <v>376</v>
      </c>
      <c r="P134" t="s">
        <v>187</v>
      </c>
      <c r="Q134" t="s">
        <v>23</v>
      </c>
      <c r="R134" t="s">
        <v>23</v>
      </c>
      <c r="S134" t="s">
        <v>25</v>
      </c>
      <c r="T134" t="str">
        <f>_xlfn.XLOOKUP(Tabela14[[#This Row],[Categoria]],CATEGORIAS!$C:$C,CATEGORIAS!$D:$D,"")</f>
        <v>2.1 Despesas Diretas</v>
      </c>
    </row>
    <row r="135" spans="6:20" x14ac:dyDescent="0.25">
      <c r="F135" s="17">
        <v>46140</v>
      </c>
      <c r="G135" t="s">
        <v>184</v>
      </c>
      <c r="H135" t="s">
        <v>27</v>
      </c>
      <c r="I135" t="s">
        <v>90</v>
      </c>
      <c r="J135" s="31">
        <v>-121.59999999999998</v>
      </c>
      <c r="L135" s="33">
        <v>-121.59999999999998</v>
      </c>
      <c r="M135" t="s">
        <v>185</v>
      </c>
      <c r="N135" t="s">
        <v>216</v>
      </c>
      <c r="O135" s="34" t="s">
        <v>377</v>
      </c>
      <c r="P135" t="s">
        <v>187</v>
      </c>
      <c r="Q135" t="s">
        <v>23</v>
      </c>
      <c r="R135" t="s">
        <v>23</v>
      </c>
      <c r="S135" t="s">
        <v>25</v>
      </c>
      <c r="T135" t="str">
        <f>_xlfn.XLOOKUP(Tabela14[[#This Row],[Categoria]],CATEGORIAS!$C:$C,CATEGORIAS!$D:$D,"")</f>
        <v>2.1 Despesas Diretas</v>
      </c>
    </row>
    <row r="136" spans="6:20" x14ac:dyDescent="0.25">
      <c r="F136" s="17">
        <v>46140</v>
      </c>
      <c r="G136" t="s">
        <v>184</v>
      </c>
      <c r="H136" t="s">
        <v>27</v>
      </c>
      <c r="I136" t="s">
        <v>90</v>
      </c>
      <c r="J136" s="31">
        <v>-272</v>
      </c>
      <c r="L136" s="33">
        <v>-272</v>
      </c>
      <c r="M136" t="s">
        <v>185</v>
      </c>
      <c r="N136" t="s">
        <v>216</v>
      </c>
      <c r="O136" s="34" t="s">
        <v>378</v>
      </c>
      <c r="P136" t="s">
        <v>187</v>
      </c>
      <c r="Q136" t="s">
        <v>23</v>
      </c>
      <c r="R136" t="s">
        <v>23</v>
      </c>
      <c r="S136" t="s">
        <v>25</v>
      </c>
      <c r="T136" t="str">
        <f>_xlfn.XLOOKUP(Tabela14[[#This Row],[Categoria]],CATEGORIAS!$C:$C,CATEGORIAS!$D:$D,"")</f>
        <v>2.1 Despesas Diretas</v>
      </c>
    </row>
    <row r="137" spans="6:20" x14ac:dyDescent="0.25">
      <c r="F137" s="17">
        <v>46140</v>
      </c>
      <c r="G137" t="s">
        <v>184</v>
      </c>
      <c r="H137" t="s">
        <v>27</v>
      </c>
      <c r="I137" t="s">
        <v>90</v>
      </c>
      <c r="J137" s="31">
        <v>-453.33333333333331</v>
      </c>
      <c r="L137" s="33">
        <v>-453.33333333333331</v>
      </c>
      <c r="M137" t="s">
        <v>185</v>
      </c>
      <c r="N137" t="s">
        <v>216</v>
      </c>
      <c r="O137" s="34" t="s">
        <v>379</v>
      </c>
      <c r="P137" t="s">
        <v>187</v>
      </c>
      <c r="Q137" t="s">
        <v>23</v>
      </c>
      <c r="R137" t="s">
        <v>23</v>
      </c>
      <c r="S137" t="s">
        <v>25</v>
      </c>
      <c r="T137" t="str">
        <f>_xlfn.XLOOKUP(Tabela14[[#This Row],[Categoria]],CATEGORIAS!$C:$C,CATEGORIAS!$D:$D,"")</f>
        <v>2.1 Despesas Diretas</v>
      </c>
    </row>
    <row r="138" spans="6:20" x14ac:dyDescent="0.25">
      <c r="F138" s="17">
        <v>46140</v>
      </c>
      <c r="G138" t="s">
        <v>184</v>
      </c>
      <c r="H138" t="s">
        <v>27</v>
      </c>
      <c r="I138" t="s">
        <v>90</v>
      </c>
      <c r="J138" s="31">
        <v>-266.66666666666669</v>
      </c>
      <c r="L138" s="33">
        <v>-266.66666666666669</v>
      </c>
      <c r="M138" t="s">
        <v>185</v>
      </c>
      <c r="N138" t="s">
        <v>216</v>
      </c>
      <c r="O138" s="34" t="s">
        <v>380</v>
      </c>
      <c r="P138" t="s">
        <v>187</v>
      </c>
      <c r="Q138" t="s">
        <v>23</v>
      </c>
      <c r="R138" t="s">
        <v>23</v>
      </c>
      <c r="S138" t="s">
        <v>25</v>
      </c>
      <c r="T138" t="str">
        <f>_xlfn.XLOOKUP(Tabela14[[#This Row],[Categoria]],CATEGORIAS!$C:$C,CATEGORIAS!$D:$D,"")</f>
        <v>2.1 Despesas Diretas</v>
      </c>
    </row>
    <row r="139" spans="6:20" x14ac:dyDescent="0.25">
      <c r="F139" s="17">
        <v>46140</v>
      </c>
      <c r="G139" t="s">
        <v>184</v>
      </c>
      <c r="H139" t="s">
        <v>27</v>
      </c>
      <c r="I139" t="s">
        <v>90</v>
      </c>
      <c r="J139" s="31">
        <v>-1045.3333333333333</v>
      </c>
      <c r="L139" s="33">
        <v>-1045.3333333333333</v>
      </c>
      <c r="M139" t="s">
        <v>185</v>
      </c>
      <c r="N139" t="s">
        <v>216</v>
      </c>
      <c r="O139" s="34" t="s">
        <v>381</v>
      </c>
      <c r="P139" t="s">
        <v>187</v>
      </c>
      <c r="Q139" t="s">
        <v>23</v>
      </c>
      <c r="R139" t="s">
        <v>23</v>
      </c>
      <c r="S139" t="s">
        <v>25</v>
      </c>
      <c r="T139" t="str">
        <f>_xlfn.XLOOKUP(Tabela14[[#This Row],[Categoria]],CATEGORIAS!$C:$C,CATEGORIAS!$D:$D,"")</f>
        <v>2.1 Despesas Diretas</v>
      </c>
    </row>
    <row r="140" spans="6:20" x14ac:dyDescent="0.25">
      <c r="F140" s="17">
        <v>46140</v>
      </c>
      <c r="G140" t="s">
        <v>184</v>
      </c>
      <c r="H140" t="s">
        <v>27</v>
      </c>
      <c r="I140" t="s">
        <v>90</v>
      </c>
      <c r="J140" s="30">
        <v>-513.06666666666672</v>
      </c>
      <c r="L140" s="33">
        <v>-513.06666666666672</v>
      </c>
      <c r="M140" t="s">
        <v>185</v>
      </c>
      <c r="N140" t="s">
        <v>216</v>
      </c>
      <c r="O140" s="34" t="s">
        <v>382</v>
      </c>
      <c r="P140" t="s">
        <v>187</v>
      </c>
      <c r="Q140" t="s">
        <v>23</v>
      </c>
      <c r="R140" t="s">
        <v>23</v>
      </c>
      <c r="S140" t="s">
        <v>25</v>
      </c>
      <c r="T140" t="str">
        <f>_xlfn.XLOOKUP(Tabela14[[#This Row],[Categoria]],CATEGORIAS!$C:$C,CATEGORIAS!$D:$D,"")</f>
        <v>2.1 Despesas Diretas</v>
      </c>
    </row>
    <row r="141" spans="6:20" x14ac:dyDescent="0.25">
      <c r="F141" s="17">
        <v>46140</v>
      </c>
      <c r="G141" t="s">
        <v>184</v>
      </c>
      <c r="H141" t="s">
        <v>27</v>
      </c>
      <c r="I141" t="s">
        <v>90</v>
      </c>
      <c r="J141" s="30">
        <v>-32.666666666666664</v>
      </c>
      <c r="L141" s="33">
        <v>-32.666666666666664</v>
      </c>
      <c r="M141" t="s">
        <v>185</v>
      </c>
      <c r="N141" t="s">
        <v>216</v>
      </c>
      <c r="O141" s="34" t="s">
        <v>383</v>
      </c>
      <c r="P141" t="s">
        <v>187</v>
      </c>
      <c r="Q141" t="s">
        <v>23</v>
      </c>
      <c r="R141" t="s">
        <v>23</v>
      </c>
      <c r="S141" t="s">
        <v>25</v>
      </c>
      <c r="T141" t="str">
        <f>_xlfn.XLOOKUP(Tabela14[[#This Row],[Categoria]],CATEGORIAS!$C:$C,CATEGORIAS!$D:$D,"")</f>
        <v>2.1 Despesas Diretas</v>
      </c>
    </row>
    <row r="142" spans="6:20" x14ac:dyDescent="0.25">
      <c r="F142" s="17">
        <v>46140</v>
      </c>
      <c r="G142" t="s">
        <v>184</v>
      </c>
      <c r="H142" t="s">
        <v>27</v>
      </c>
      <c r="I142" t="s">
        <v>90</v>
      </c>
      <c r="J142" s="30">
        <v>-86</v>
      </c>
      <c r="L142" s="33">
        <v>-86</v>
      </c>
      <c r="M142" t="s">
        <v>185</v>
      </c>
      <c r="N142" t="s">
        <v>216</v>
      </c>
      <c r="O142" s="34" t="s">
        <v>384</v>
      </c>
      <c r="P142" t="s">
        <v>187</v>
      </c>
      <c r="Q142" t="s">
        <v>23</v>
      </c>
      <c r="R142" t="s">
        <v>23</v>
      </c>
      <c r="S142" t="s">
        <v>25</v>
      </c>
      <c r="T142" t="str">
        <f>_xlfn.XLOOKUP(Tabela14[[#This Row],[Categoria]],CATEGORIAS!$C:$C,CATEGORIAS!$D:$D,"")</f>
        <v>2.1 Despesas Diretas</v>
      </c>
    </row>
    <row r="143" spans="6:20" x14ac:dyDescent="0.25">
      <c r="F143" s="17">
        <v>46140</v>
      </c>
      <c r="G143" t="s">
        <v>184</v>
      </c>
      <c r="H143" t="s">
        <v>27</v>
      </c>
      <c r="I143" t="s">
        <v>90</v>
      </c>
      <c r="J143" s="30">
        <v>-265.33333333333331</v>
      </c>
      <c r="L143" s="33">
        <v>-265.33333333333331</v>
      </c>
      <c r="M143" t="s">
        <v>185</v>
      </c>
      <c r="N143" t="s">
        <v>216</v>
      </c>
      <c r="O143" s="34" t="s">
        <v>385</v>
      </c>
      <c r="P143" t="s">
        <v>187</v>
      </c>
      <c r="Q143" t="s">
        <v>23</v>
      </c>
      <c r="R143" t="s">
        <v>23</v>
      </c>
      <c r="S143" t="s">
        <v>25</v>
      </c>
      <c r="T143" t="str">
        <f>_xlfn.XLOOKUP(Tabela14[[#This Row],[Categoria]],CATEGORIAS!$C:$C,CATEGORIAS!$D:$D,"")</f>
        <v>2.1 Despesas Diretas</v>
      </c>
    </row>
    <row r="144" spans="6:20" x14ac:dyDescent="0.25">
      <c r="F144" s="17">
        <v>46154</v>
      </c>
      <c r="G144" t="s">
        <v>184</v>
      </c>
      <c r="H144" t="s">
        <v>27</v>
      </c>
      <c r="I144" t="s">
        <v>90</v>
      </c>
      <c r="J144" s="31">
        <v>-1516.8000000000002</v>
      </c>
      <c r="L144" s="33">
        <v>-1516.8000000000002</v>
      </c>
      <c r="M144" t="s">
        <v>185</v>
      </c>
      <c r="N144" t="s">
        <v>216</v>
      </c>
      <c r="O144" s="34" t="s">
        <v>355</v>
      </c>
      <c r="P144" t="s">
        <v>187</v>
      </c>
      <c r="Q144" t="s">
        <v>23</v>
      </c>
      <c r="R144" t="s">
        <v>23</v>
      </c>
      <c r="S144" t="s">
        <v>25</v>
      </c>
      <c r="T144" t="str">
        <f>_xlfn.XLOOKUP(Tabela14[[#This Row],[Categoria]],CATEGORIAS!$C:$C,CATEGORIAS!$D:$D,"")</f>
        <v>2.1 Despesas Diretas</v>
      </c>
    </row>
    <row r="145" spans="6:20" x14ac:dyDescent="0.25">
      <c r="F145" s="17">
        <v>46154</v>
      </c>
      <c r="G145" t="s">
        <v>184</v>
      </c>
      <c r="H145" t="s">
        <v>27</v>
      </c>
      <c r="I145" t="s">
        <v>90</v>
      </c>
      <c r="J145" s="31">
        <v>-507.73333333333335</v>
      </c>
      <c r="L145" s="33">
        <v>-507.73333333333335</v>
      </c>
      <c r="M145" t="s">
        <v>185</v>
      </c>
      <c r="N145" t="s">
        <v>216</v>
      </c>
      <c r="O145" s="34" t="s">
        <v>356</v>
      </c>
      <c r="P145" t="s">
        <v>187</v>
      </c>
      <c r="Q145" t="s">
        <v>23</v>
      </c>
      <c r="R145" t="s">
        <v>23</v>
      </c>
      <c r="S145" t="s">
        <v>25</v>
      </c>
      <c r="T145" t="str">
        <f>_xlfn.XLOOKUP(Tabela14[[#This Row],[Categoria]],CATEGORIAS!$C:$C,CATEGORIAS!$D:$D,"")</f>
        <v>2.1 Despesas Diretas</v>
      </c>
    </row>
    <row r="146" spans="6:20" x14ac:dyDescent="0.25">
      <c r="F146" s="17">
        <v>46154</v>
      </c>
      <c r="G146" t="s">
        <v>184</v>
      </c>
      <c r="H146" t="s">
        <v>27</v>
      </c>
      <c r="I146" t="s">
        <v>90</v>
      </c>
      <c r="J146" s="30">
        <v>-373.33333333333331</v>
      </c>
      <c r="L146" s="33">
        <v>-373.33333333333331</v>
      </c>
      <c r="M146" t="s">
        <v>185</v>
      </c>
      <c r="N146" t="s">
        <v>216</v>
      </c>
      <c r="O146" s="34" t="s">
        <v>357</v>
      </c>
      <c r="P146" t="s">
        <v>187</v>
      </c>
      <c r="Q146" t="s">
        <v>23</v>
      </c>
      <c r="R146" t="s">
        <v>23</v>
      </c>
      <c r="S146" t="s">
        <v>25</v>
      </c>
      <c r="T146" t="str">
        <f>_xlfn.XLOOKUP(Tabela14[[#This Row],[Categoria]],CATEGORIAS!$C:$C,CATEGORIAS!$D:$D,"")</f>
        <v>2.1 Despesas Diretas</v>
      </c>
    </row>
    <row r="147" spans="6:20" x14ac:dyDescent="0.25">
      <c r="F147" s="17">
        <v>46154</v>
      </c>
      <c r="G147" t="s">
        <v>184</v>
      </c>
      <c r="H147" t="s">
        <v>27</v>
      </c>
      <c r="I147" t="s">
        <v>90</v>
      </c>
      <c r="J147" s="31">
        <v>-1578.6666666666667</v>
      </c>
      <c r="L147" s="33">
        <v>-1578.6666666666667</v>
      </c>
      <c r="M147" t="s">
        <v>185</v>
      </c>
      <c r="N147" t="s">
        <v>216</v>
      </c>
      <c r="O147" s="34" t="s">
        <v>358</v>
      </c>
      <c r="P147" t="s">
        <v>187</v>
      </c>
      <c r="Q147" t="s">
        <v>23</v>
      </c>
      <c r="R147" t="s">
        <v>23</v>
      </c>
      <c r="S147" t="s">
        <v>25</v>
      </c>
      <c r="T147" t="str">
        <f>_xlfn.XLOOKUP(Tabela14[[#This Row],[Categoria]],CATEGORIAS!$C:$C,CATEGORIAS!$D:$D,"")</f>
        <v>2.1 Despesas Diretas</v>
      </c>
    </row>
    <row r="148" spans="6:20" x14ac:dyDescent="0.25">
      <c r="F148" s="17">
        <v>46154</v>
      </c>
      <c r="G148" t="s">
        <v>184</v>
      </c>
      <c r="H148" t="s">
        <v>27</v>
      </c>
      <c r="I148" t="s">
        <v>90</v>
      </c>
      <c r="J148" s="31">
        <v>-1277.4399999999998</v>
      </c>
      <c r="L148" s="33">
        <v>-1277.4399999999998</v>
      </c>
      <c r="M148" t="s">
        <v>185</v>
      </c>
      <c r="N148" t="s">
        <v>216</v>
      </c>
      <c r="O148" s="34" t="s">
        <v>359</v>
      </c>
      <c r="P148" t="s">
        <v>187</v>
      </c>
      <c r="Q148" t="s">
        <v>23</v>
      </c>
      <c r="R148" t="s">
        <v>23</v>
      </c>
      <c r="S148" t="s">
        <v>25</v>
      </c>
      <c r="T148" t="str">
        <f>_xlfn.XLOOKUP(Tabela14[[#This Row],[Categoria]],CATEGORIAS!$C:$C,CATEGORIAS!$D:$D,"")</f>
        <v>2.1 Despesas Diretas</v>
      </c>
    </row>
    <row r="149" spans="6:20" x14ac:dyDescent="0.25">
      <c r="F149" s="17">
        <v>46154</v>
      </c>
      <c r="G149" t="s">
        <v>184</v>
      </c>
      <c r="H149" t="s">
        <v>27</v>
      </c>
      <c r="I149" t="s">
        <v>90</v>
      </c>
      <c r="J149" s="31">
        <v>-181.33333333333334</v>
      </c>
      <c r="L149" s="33">
        <v>-181.33333333333334</v>
      </c>
      <c r="M149" t="s">
        <v>185</v>
      </c>
      <c r="N149" t="s">
        <v>216</v>
      </c>
      <c r="O149" s="34" t="s">
        <v>360</v>
      </c>
      <c r="P149" t="s">
        <v>187</v>
      </c>
      <c r="Q149" t="s">
        <v>23</v>
      </c>
      <c r="R149" t="s">
        <v>23</v>
      </c>
      <c r="S149" t="s">
        <v>25</v>
      </c>
      <c r="T149" t="str">
        <f>_xlfn.XLOOKUP(Tabela14[[#This Row],[Categoria]],CATEGORIAS!$C:$C,CATEGORIAS!$D:$D,"")</f>
        <v>2.1 Despesas Diretas</v>
      </c>
    </row>
    <row r="150" spans="6:20" x14ac:dyDescent="0.25">
      <c r="F150" s="17">
        <v>46154</v>
      </c>
      <c r="G150" t="s">
        <v>184</v>
      </c>
      <c r="H150" t="s">
        <v>27</v>
      </c>
      <c r="I150" t="s">
        <v>90</v>
      </c>
      <c r="J150" s="30">
        <v>-181.33333333333334</v>
      </c>
      <c r="L150" s="33">
        <v>-181.33333333333334</v>
      </c>
      <c r="M150" t="s">
        <v>185</v>
      </c>
      <c r="N150" t="s">
        <v>216</v>
      </c>
      <c r="O150" s="34" t="s">
        <v>361</v>
      </c>
      <c r="P150" t="s">
        <v>187</v>
      </c>
      <c r="Q150" t="s">
        <v>23</v>
      </c>
      <c r="R150" t="s">
        <v>23</v>
      </c>
      <c r="S150" t="s">
        <v>25</v>
      </c>
      <c r="T150" t="str">
        <f>_xlfn.XLOOKUP(Tabela14[[#This Row],[Categoria]],CATEGORIAS!$C:$C,CATEGORIAS!$D:$D,"")</f>
        <v>2.1 Despesas Diretas</v>
      </c>
    </row>
    <row r="151" spans="6:20" x14ac:dyDescent="0.25">
      <c r="F151" s="17">
        <v>46154</v>
      </c>
      <c r="G151" t="s">
        <v>184</v>
      </c>
      <c r="H151" t="s">
        <v>27</v>
      </c>
      <c r="I151" t="s">
        <v>90</v>
      </c>
      <c r="J151" s="31">
        <v>-221.86666666666667</v>
      </c>
      <c r="L151" s="33">
        <v>-221.86666666666667</v>
      </c>
      <c r="M151" t="s">
        <v>185</v>
      </c>
      <c r="N151" t="s">
        <v>216</v>
      </c>
      <c r="O151" s="34" t="s">
        <v>362</v>
      </c>
      <c r="P151" t="s">
        <v>187</v>
      </c>
      <c r="Q151" t="s">
        <v>23</v>
      </c>
      <c r="R151" t="s">
        <v>23</v>
      </c>
      <c r="S151" t="s">
        <v>25</v>
      </c>
      <c r="T151" t="str">
        <f>_xlfn.XLOOKUP(Tabela14[[#This Row],[Categoria]],CATEGORIAS!$C:$C,CATEGORIAS!$D:$D,"")</f>
        <v>2.1 Despesas Diretas</v>
      </c>
    </row>
    <row r="152" spans="6:20" x14ac:dyDescent="0.25">
      <c r="F152" s="17">
        <v>46154</v>
      </c>
      <c r="G152" t="s">
        <v>184</v>
      </c>
      <c r="H152" t="s">
        <v>27</v>
      </c>
      <c r="I152" t="s">
        <v>90</v>
      </c>
      <c r="J152" s="30">
        <v>-61.866666666666667</v>
      </c>
      <c r="L152" s="33">
        <v>-61.866666666666667</v>
      </c>
      <c r="M152" t="s">
        <v>185</v>
      </c>
      <c r="N152" t="s">
        <v>216</v>
      </c>
      <c r="O152" s="34" t="s">
        <v>363</v>
      </c>
      <c r="P152" t="s">
        <v>187</v>
      </c>
      <c r="Q152" t="s">
        <v>23</v>
      </c>
      <c r="R152" t="s">
        <v>23</v>
      </c>
      <c r="S152" t="s">
        <v>25</v>
      </c>
      <c r="T152" t="str">
        <f>_xlfn.XLOOKUP(Tabela14[[#This Row],[Categoria]],CATEGORIAS!$C:$C,CATEGORIAS!$D:$D,"")</f>
        <v>2.1 Despesas Diretas</v>
      </c>
    </row>
    <row r="153" spans="6:20" x14ac:dyDescent="0.25">
      <c r="F153" s="17">
        <v>46154</v>
      </c>
      <c r="G153" t="s">
        <v>184</v>
      </c>
      <c r="H153" t="s">
        <v>27</v>
      </c>
      <c r="I153" t="s">
        <v>90</v>
      </c>
      <c r="J153" s="31">
        <v>-201.6</v>
      </c>
      <c r="L153" s="33">
        <v>-201.6</v>
      </c>
      <c r="M153" t="s">
        <v>185</v>
      </c>
      <c r="N153" t="s">
        <v>216</v>
      </c>
      <c r="O153" s="34" t="s">
        <v>364</v>
      </c>
      <c r="P153" t="s">
        <v>187</v>
      </c>
      <c r="Q153" t="s">
        <v>23</v>
      </c>
      <c r="R153" t="s">
        <v>23</v>
      </c>
      <c r="S153" t="s">
        <v>25</v>
      </c>
      <c r="T153" t="str">
        <f>_xlfn.XLOOKUP(Tabela14[[#This Row],[Categoria]],CATEGORIAS!$C:$C,CATEGORIAS!$D:$D,"")</f>
        <v>2.1 Despesas Diretas</v>
      </c>
    </row>
    <row r="154" spans="6:20" x14ac:dyDescent="0.25">
      <c r="F154" s="17">
        <v>46154</v>
      </c>
      <c r="G154" t="s">
        <v>184</v>
      </c>
      <c r="H154" t="s">
        <v>27</v>
      </c>
      <c r="I154" t="s">
        <v>90</v>
      </c>
      <c r="J154" s="31">
        <v>-76.8</v>
      </c>
      <c r="L154" s="33">
        <v>-76.8</v>
      </c>
      <c r="M154" t="s">
        <v>185</v>
      </c>
      <c r="N154" t="s">
        <v>216</v>
      </c>
      <c r="O154" s="34" t="s">
        <v>365</v>
      </c>
      <c r="P154" t="s">
        <v>187</v>
      </c>
      <c r="Q154" t="s">
        <v>23</v>
      </c>
      <c r="R154" t="s">
        <v>23</v>
      </c>
      <c r="S154" t="s">
        <v>25</v>
      </c>
      <c r="T154" t="str">
        <f>_xlfn.XLOOKUP(Tabela14[[#This Row],[Categoria]],CATEGORIAS!$C:$C,CATEGORIAS!$D:$D,"")</f>
        <v>2.1 Despesas Diretas</v>
      </c>
    </row>
    <row r="155" spans="6:20" x14ac:dyDescent="0.25">
      <c r="F155" s="17">
        <v>46154</v>
      </c>
      <c r="G155" t="s">
        <v>184</v>
      </c>
      <c r="H155" t="s">
        <v>27</v>
      </c>
      <c r="I155" t="s">
        <v>90</v>
      </c>
      <c r="J155" s="31">
        <v>0</v>
      </c>
      <c r="L155" s="33">
        <v>0</v>
      </c>
      <c r="M155" t="s">
        <v>185</v>
      </c>
      <c r="N155" t="s">
        <v>216</v>
      </c>
      <c r="O155" s="34" t="s">
        <v>366</v>
      </c>
      <c r="P155" t="s">
        <v>187</v>
      </c>
      <c r="Q155" t="s">
        <v>23</v>
      </c>
      <c r="R155" t="s">
        <v>23</v>
      </c>
      <c r="S155" t="s">
        <v>25</v>
      </c>
      <c r="T155" t="str">
        <f>_xlfn.XLOOKUP(Tabela14[[#This Row],[Categoria]],CATEGORIAS!$C:$C,CATEGORIAS!$D:$D,"")</f>
        <v>2.1 Despesas Diretas</v>
      </c>
    </row>
    <row r="156" spans="6:20" x14ac:dyDescent="0.25">
      <c r="F156" s="17">
        <v>46154</v>
      </c>
      <c r="G156" t="s">
        <v>184</v>
      </c>
      <c r="H156" t="s">
        <v>27</v>
      </c>
      <c r="I156" t="s">
        <v>90</v>
      </c>
      <c r="J156" s="30">
        <v>-424.5333333333333</v>
      </c>
      <c r="L156" s="33">
        <v>-424.5333333333333</v>
      </c>
      <c r="M156" t="s">
        <v>185</v>
      </c>
      <c r="N156" t="s">
        <v>216</v>
      </c>
      <c r="O156" s="34" t="s">
        <v>367</v>
      </c>
      <c r="P156" t="s">
        <v>187</v>
      </c>
      <c r="Q156" t="s">
        <v>23</v>
      </c>
      <c r="R156" t="s">
        <v>23</v>
      </c>
      <c r="S156" t="s">
        <v>25</v>
      </c>
      <c r="T156" t="str">
        <f>_xlfn.XLOOKUP(Tabela14[[#This Row],[Categoria]],CATEGORIAS!$C:$C,CATEGORIAS!$D:$D,"")</f>
        <v>2.1 Despesas Diretas</v>
      </c>
    </row>
    <row r="157" spans="6:20" x14ac:dyDescent="0.25">
      <c r="F157" s="17">
        <v>46154</v>
      </c>
      <c r="G157" t="s">
        <v>184</v>
      </c>
      <c r="H157" t="s">
        <v>27</v>
      </c>
      <c r="I157" t="s">
        <v>90</v>
      </c>
      <c r="J157" s="30">
        <v>-424.5333333333333</v>
      </c>
      <c r="L157" s="33">
        <v>-424.5333333333333</v>
      </c>
      <c r="M157" t="s">
        <v>185</v>
      </c>
      <c r="N157" t="s">
        <v>216</v>
      </c>
      <c r="O157" s="34" t="s">
        <v>368</v>
      </c>
      <c r="P157" t="s">
        <v>187</v>
      </c>
      <c r="Q157" t="s">
        <v>23</v>
      </c>
      <c r="R157" t="s">
        <v>23</v>
      </c>
      <c r="S157" t="s">
        <v>25</v>
      </c>
      <c r="T157" t="str">
        <f>_xlfn.XLOOKUP(Tabela14[[#This Row],[Categoria]],CATEGORIAS!$C:$C,CATEGORIAS!$D:$D,"")</f>
        <v>2.1 Despesas Diretas</v>
      </c>
    </row>
    <row r="158" spans="6:20" x14ac:dyDescent="0.25">
      <c r="F158" s="17">
        <v>46154</v>
      </c>
      <c r="G158" t="s">
        <v>184</v>
      </c>
      <c r="H158" t="s">
        <v>27</v>
      </c>
      <c r="I158" t="s">
        <v>90</v>
      </c>
      <c r="J158" s="30">
        <v>0</v>
      </c>
      <c r="L158" s="33">
        <v>0</v>
      </c>
      <c r="M158" t="s">
        <v>185</v>
      </c>
      <c r="N158" t="s">
        <v>216</v>
      </c>
      <c r="O158" s="34" t="s">
        <v>369</v>
      </c>
      <c r="P158" t="s">
        <v>187</v>
      </c>
      <c r="Q158" t="s">
        <v>23</v>
      </c>
      <c r="R158" t="s">
        <v>23</v>
      </c>
      <c r="S158" t="s">
        <v>25</v>
      </c>
      <c r="T158" t="str">
        <f>_xlfn.XLOOKUP(Tabela14[[#This Row],[Categoria]],CATEGORIAS!$C:$C,CATEGORIAS!$D:$D,"")</f>
        <v>2.1 Despesas Diretas</v>
      </c>
    </row>
    <row r="159" spans="6:20" x14ac:dyDescent="0.25">
      <c r="F159" s="17">
        <v>46154</v>
      </c>
      <c r="G159" t="s">
        <v>184</v>
      </c>
      <c r="H159" t="s">
        <v>27</v>
      </c>
      <c r="I159" t="s">
        <v>90</v>
      </c>
      <c r="J159" s="30">
        <v>-1574.3999999999999</v>
      </c>
      <c r="L159" s="33">
        <v>-1574.3999999999999</v>
      </c>
      <c r="M159" t="s">
        <v>185</v>
      </c>
      <c r="N159" t="s">
        <v>216</v>
      </c>
      <c r="O159" s="34" t="s">
        <v>370</v>
      </c>
      <c r="P159" t="s">
        <v>187</v>
      </c>
      <c r="Q159" t="s">
        <v>23</v>
      </c>
      <c r="R159" t="s">
        <v>23</v>
      </c>
      <c r="S159" t="s">
        <v>25</v>
      </c>
      <c r="T159" t="str">
        <f>_xlfn.XLOOKUP(Tabela14[[#This Row],[Categoria]],CATEGORIAS!$C:$C,CATEGORIAS!$D:$D,"")</f>
        <v>2.1 Despesas Diretas</v>
      </c>
    </row>
    <row r="160" spans="6:20" x14ac:dyDescent="0.25">
      <c r="F160" s="17">
        <v>46154</v>
      </c>
      <c r="G160" t="s">
        <v>184</v>
      </c>
      <c r="H160" t="s">
        <v>27</v>
      </c>
      <c r="I160" t="s">
        <v>90</v>
      </c>
      <c r="J160" s="30">
        <v>-61.866666666666667</v>
      </c>
      <c r="L160" s="33">
        <v>-61.866666666666667</v>
      </c>
      <c r="M160" t="s">
        <v>185</v>
      </c>
      <c r="N160" t="s">
        <v>216</v>
      </c>
      <c r="O160" s="34" t="s">
        <v>371</v>
      </c>
      <c r="P160" t="s">
        <v>187</v>
      </c>
      <c r="Q160" t="s">
        <v>23</v>
      </c>
      <c r="R160" t="s">
        <v>23</v>
      </c>
      <c r="S160" t="s">
        <v>25</v>
      </c>
      <c r="T160" t="str">
        <f>_xlfn.XLOOKUP(Tabela14[[#This Row],[Categoria]],CATEGORIAS!$C:$C,CATEGORIAS!$D:$D,"")</f>
        <v>2.1 Despesas Diretas</v>
      </c>
    </row>
    <row r="161" spans="6:20" x14ac:dyDescent="0.25">
      <c r="F161" s="17">
        <v>46154</v>
      </c>
      <c r="G161" t="s">
        <v>184</v>
      </c>
      <c r="H161" t="s">
        <v>27</v>
      </c>
      <c r="I161" t="s">
        <v>90</v>
      </c>
      <c r="J161" s="30">
        <v>-61.866666666666667</v>
      </c>
      <c r="L161" s="33">
        <v>-61.866666666666667</v>
      </c>
      <c r="M161" t="s">
        <v>185</v>
      </c>
      <c r="N161" t="s">
        <v>216</v>
      </c>
      <c r="O161" s="34" t="s">
        <v>321</v>
      </c>
      <c r="P161" t="s">
        <v>187</v>
      </c>
      <c r="Q161" t="s">
        <v>23</v>
      </c>
      <c r="R161" t="s">
        <v>23</v>
      </c>
      <c r="S161" t="s">
        <v>25</v>
      </c>
      <c r="T161" t="str">
        <f>_xlfn.XLOOKUP(Tabela14[[#This Row],[Categoria]],CATEGORIAS!$C:$C,CATEGORIAS!$D:$D,"")</f>
        <v>2.1 Despesas Diretas</v>
      </c>
    </row>
    <row r="162" spans="6:20" x14ac:dyDescent="0.25">
      <c r="F162" s="17">
        <v>46154</v>
      </c>
      <c r="G162" t="s">
        <v>184</v>
      </c>
      <c r="H162" t="s">
        <v>27</v>
      </c>
      <c r="I162" t="s">
        <v>90</v>
      </c>
      <c r="J162" s="31">
        <v>-635.73333333333335</v>
      </c>
      <c r="L162" s="33">
        <v>-635.73333333333335</v>
      </c>
      <c r="M162" t="s">
        <v>185</v>
      </c>
      <c r="N162" t="s">
        <v>216</v>
      </c>
      <c r="O162" s="34" t="s">
        <v>372</v>
      </c>
      <c r="P162" t="s">
        <v>187</v>
      </c>
      <c r="Q162" t="s">
        <v>23</v>
      </c>
      <c r="R162" t="s">
        <v>23</v>
      </c>
      <c r="S162" t="s">
        <v>25</v>
      </c>
      <c r="T162" t="str">
        <f>_xlfn.XLOOKUP(Tabela14[[#This Row],[Categoria]],CATEGORIAS!$C:$C,CATEGORIAS!$D:$D,"")</f>
        <v>2.1 Despesas Diretas</v>
      </c>
    </row>
    <row r="163" spans="6:20" x14ac:dyDescent="0.25">
      <c r="F163" s="17">
        <v>46154</v>
      </c>
      <c r="G163" t="s">
        <v>184</v>
      </c>
      <c r="H163" t="s">
        <v>27</v>
      </c>
      <c r="I163" t="s">
        <v>90</v>
      </c>
      <c r="J163" s="30">
        <v>-360.5333333333333</v>
      </c>
      <c r="L163" s="33">
        <v>-360.5333333333333</v>
      </c>
      <c r="M163" t="s">
        <v>185</v>
      </c>
      <c r="N163" t="s">
        <v>216</v>
      </c>
      <c r="O163" s="34" t="s">
        <v>373</v>
      </c>
      <c r="P163" t="s">
        <v>187</v>
      </c>
      <c r="Q163" t="s">
        <v>23</v>
      </c>
      <c r="R163" t="s">
        <v>23</v>
      </c>
      <c r="S163" t="s">
        <v>25</v>
      </c>
      <c r="T163" t="str">
        <f>_xlfn.XLOOKUP(Tabela14[[#This Row],[Categoria]],CATEGORIAS!$C:$C,CATEGORIAS!$D:$D,"")</f>
        <v>2.1 Despesas Diretas</v>
      </c>
    </row>
    <row r="164" spans="6:20" x14ac:dyDescent="0.25">
      <c r="F164" s="17">
        <v>46154</v>
      </c>
      <c r="G164" t="s">
        <v>184</v>
      </c>
      <c r="H164" t="s">
        <v>27</v>
      </c>
      <c r="I164" t="s">
        <v>90</v>
      </c>
      <c r="J164" s="31">
        <v>-305.06666666666666</v>
      </c>
      <c r="L164" s="33">
        <v>-305.06666666666666</v>
      </c>
      <c r="M164" t="s">
        <v>185</v>
      </c>
      <c r="N164" t="s">
        <v>216</v>
      </c>
      <c r="O164" s="34" t="s">
        <v>374</v>
      </c>
      <c r="P164" t="s">
        <v>187</v>
      </c>
      <c r="Q164" t="s">
        <v>23</v>
      </c>
      <c r="R164" t="s">
        <v>23</v>
      </c>
      <c r="S164" t="s">
        <v>25</v>
      </c>
      <c r="T164" t="str">
        <f>_xlfn.XLOOKUP(Tabela14[[#This Row],[Categoria]],CATEGORIAS!$C:$C,CATEGORIAS!$D:$D,"")</f>
        <v>2.1 Despesas Diretas</v>
      </c>
    </row>
    <row r="165" spans="6:20" x14ac:dyDescent="0.25">
      <c r="F165" s="17">
        <v>46154</v>
      </c>
      <c r="G165" t="s">
        <v>184</v>
      </c>
      <c r="H165" t="s">
        <v>27</v>
      </c>
      <c r="I165" t="s">
        <v>90</v>
      </c>
      <c r="J165" s="30">
        <v>-23.466666666666669</v>
      </c>
      <c r="L165" s="33">
        <v>-23.466666666666669</v>
      </c>
      <c r="M165" t="s">
        <v>185</v>
      </c>
      <c r="N165" t="s">
        <v>216</v>
      </c>
      <c r="O165" s="34" t="s">
        <v>375</v>
      </c>
      <c r="P165" t="s">
        <v>187</v>
      </c>
      <c r="Q165" t="s">
        <v>23</v>
      </c>
      <c r="R165" t="s">
        <v>23</v>
      </c>
      <c r="S165" t="s">
        <v>25</v>
      </c>
      <c r="T165" t="str">
        <f>_xlfn.XLOOKUP(Tabela14[[#This Row],[Categoria]],CATEGORIAS!$C:$C,CATEGORIAS!$D:$D,"")</f>
        <v>2.1 Despesas Diretas</v>
      </c>
    </row>
    <row r="166" spans="6:20" x14ac:dyDescent="0.25">
      <c r="F166" s="17">
        <v>46154</v>
      </c>
      <c r="G166" t="s">
        <v>184</v>
      </c>
      <c r="H166" t="s">
        <v>27</v>
      </c>
      <c r="I166" t="s">
        <v>90</v>
      </c>
      <c r="J166" s="30">
        <v>-956.44444444444446</v>
      </c>
      <c r="L166" s="33">
        <v>-956.44444444444446</v>
      </c>
      <c r="M166" t="s">
        <v>185</v>
      </c>
      <c r="N166" t="s">
        <v>216</v>
      </c>
      <c r="O166" s="34" t="s">
        <v>376</v>
      </c>
      <c r="P166" t="s">
        <v>187</v>
      </c>
      <c r="Q166" t="s">
        <v>23</v>
      </c>
      <c r="R166" t="s">
        <v>23</v>
      </c>
      <c r="S166" t="s">
        <v>25</v>
      </c>
      <c r="T166" t="str">
        <f>_xlfn.XLOOKUP(Tabela14[[#This Row],[Categoria]],CATEGORIAS!$C:$C,CATEGORIAS!$D:$D,"")</f>
        <v>2.1 Despesas Diretas</v>
      </c>
    </row>
    <row r="167" spans="6:20" x14ac:dyDescent="0.25">
      <c r="F167" s="17">
        <v>46154</v>
      </c>
      <c r="G167" t="s">
        <v>184</v>
      </c>
      <c r="H167" t="s">
        <v>27</v>
      </c>
      <c r="I167" t="s">
        <v>90</v>
      </c>
      <c r="J167" s="31">
        <v>-121.59999999999998</v>
      </c>
      <c r="L167" s="33">
        <v>-121.59999999999998</v>
      </c>
      <c r="M167" t="s">
        <v>185</v>
      </c>
      <c r="N167" t="s">
        <v>216</v>
      </c>
      <c r="O167" s="34" t="s">
        <v>377</v>
      </c>
      <c r="P167" t="s">
        <v>187</v>
      </c>
      <c r="Q167" t="s">
        <v>23</v>
      </c>
      <c r="R167" t="s">
        <v>23</v>
      </c>
      <c r="S167" t="s">
        <v>25</v>
      </c>
      <c r="T167" t="str">
        <f>_xlfn.XLOOKUP(Tabela14[[#This Row],[Categoria]],CATEGORIAS!$C:$C,CATEGORIAS!$D:$D,"")</f>
        <v>2.1 Despesas Diretas</v>
      </c>
    </row>
    <row r="168" spans="6:20" x14ac:dyDescent="0.25">
      <c r="F168" s="17">
        <v>46154</v>
      </c>
      <c r="G168" t="s">
        <v>184</v>
      </c>
      <c r="H168" t="s">
        <v>27</v>
      </c>
      <c r="I168" t="s">
        <v>90</v>
      </c>
      <c r="J168" s="31">
        <v>-272</v>
      </c>
      <c r="L168" s="33">
        <v>-272</v>
      </c>
      <c r="M168" t="s">
        <v>185</v>
      </c>
      <c r="N168" t="s">
        <v>216</v>
      </c>
      <c r="O168" s="34" t="s">
        <v>378</v>
      </c>
      <c r="P168" t="s">
        <v>187</v>
      </c>
      <c r="Q168" t="s">
        <v>23</v>
      </c>
      <c r="R168" t="s">
        <v>23</v>
      </c>
      <c r="S168" t="s">
        <v>25</v>
      </c>
      <c r="T168" t="str">
        <f>_xlfn.XLOOKUP(Tabela14[[#This Row],[Categoria]],CATEGORIAS!$C:$C,CATEGORIAS!$D:$D,"")</f>
        <v>2.1 Despesas Diretas</v>
      </c>
    </row>
    <row r="169" spans="6:20" x14ac:dyDescent="0.25">
      <c r="F169" s="17">
        <v>46154</v>
      </c>
      <c r="G169" t="s">
        <v>184</v>
      </c>
      <c r="H169" t="s">
        <v>27</v>
      </c>
      <c r="I169" t="s">
        <v>90</v>
      </c>
      <c r="J169" s="31">
        <v>-453.33333333333331</v>
      </c>
      <c r="L169" s="33">
        <v>-453.33333333333331</v>
      </c>
      <c r="M169" t="s">
        <v>185</v>
      </c>
      <c r="N169" t="s">
        <v>216</v>
      </c>
      <c r="O169" s="34" t="s">
        <v>379</v>
      </c>
      <c r="P169" t="s">
        <v>187</v>
      </c>
      <c r="Q169" t="s">
        <v>23</v>
      </c>
      <c r="R169" t="s">
        <v>23</v>
      </c>
      <c r="S169" t="s">
        <v>25</v>
      </c>
      <c r="T169" t="str">
        <f>_xlfn.XLOOKUP(Tabela14[[#This Row],[Categoria]],CATEGORIAS!$C:$C,CATEGORIAS!$D:$D,"")</f>
        <v>2.1 Despesas Diretas</v>
      </c>
    </row>
    <row r="170" spans="6:20" x14ac:dyDescent="0.25">
      <c r="F170" s="17">
        <v>46154</v>
      </c>
      <c r="G170" t="s">
        <v>184</v>
      </c>
      <c r="H170" t="s">
        <v>27</v>
      </c>
      <c r="I170" t="s">
        <v>90</v>
      </c>
      <c r="J170" s="31">
        <v>-266.66666666666669</v>
      </c>
      <c r="L170" s="33">
        <v>-266.66666666666669</v>
      </c>
      <c r="M170" t="s">
        <v>185</v>
      </c>
      <c r="N170" t="s">
        <v>216</v>
      </c>
      <c r="O170" s="34" t="s">
        <v>380</v>
      </c>
      <c r="P170" t="s">
        <v>187</v>
      </c>
      <c r="Q170" t="s">
        <v>23</v>
      </c>
      <c r="R170" t="s">
        <v>23</v>
      </c>
      <c r="S170" t="s">
        <v>25</v>
      </c>
      <c r="T170" t="str">
        <f>_xlfn.XLOOKUP(Tabela14[[#This Row],[Categoria]],CATEGORIAS!$C:$C,CATEGORIAS!$D:$D,"")</f>
        <v>2.1 Despesas Diretas</v>
      </c>
    </row>
    <row r="171" spans="6:20" x14ac:dyDescent="0.25">
      <c r="F171" s="17">
        <v>46154</v>
      </c>
      <c r="G171" t="s">
        <v>184</v>
      </c>
      <c r="H171" t="s">
        <v>27</v>
      </c>
      <c r="I171" t="s">
        <v>90</v>
      </c>
      <c r="J171" s="31">
        <v>-1045.3333333333333</v>
      </c>
      <c r="L171" s="33">
        <v>-1045.3333333333333</v>
      </c>
      <c r="M171" t="s">
        <v>185</v>
      </c>
      <c r="N171" t="s">
        <v>216</v>
      </c>
      <c r="O171" s="34" t="s">
        <v>381</v>
      </c>
      <c r="P171" t="s">
        <v>187</v>
      </c>
      <c r="Q171" t="s">
        <v>23</v>
      </c>
      <c r="R171" t="s">
        <v>23</v>
      </c>
      <c r="S171" t="s">
        <v>25</v>
      </c>
      <c r="T171" t="str">
        <f>_xlfn.XLOOKUP(Tabela14[[#This Row],[Categoria]],CATEGORIAS!$C:$C,CATEGORIAS!$D:$D,"")</f>
        <v>2.1 Despesas Diretas</v>
      </c>
    </row>
    <row r="172" spans="6:20" x14ac:dyDescent="0.25">
      <c r="F172" s="17">
        <v>46154</v>
      </c>
      <c r="G172" t="s">
        <v>184</v>
      </c>
      <c r="H172" t="s">
        <v>27</v>
      </c>
      <c r="I172" t="s">
        <v>90</v>
      </c>
      <c r="J172" s="30">
        <v>-513.06666666666672</v>
      </c>
      <c r="L172" s="33">
        <v>-513.06666666666672</v>
      </c>
      <c r="M172" t="s">
        <v>185</v>
      </c>
      <c r="N172" t="s">
        <v>216</v>
      </c>
      <c r="O172" s="34" t="s">
        <v>382</v>
      </c>
      <c r="P172" t="s">
        <v>187</v>
      </c>
      <c r="Q172" t="s">
        <v>23</v>
      </c>
      <c r="R172" t="s">
        <v>23</v>
      </c>
      <c r="S172" t="s">
        <v>25</v>
      </c>
      <c r="T172" t="str">
        <f>_xlfn.XLOOKUP(Tabela14[[#This Row],[Categoria]],CATEGORIAS!$C:$C,CATEGORIAS!$D:$D,"")</f>
        <v>2.1 Despesas Diretas</v>
      </c>
    </row>
    <row r="173" spans="6:20" x14ac:dyDescent="0.25">
      <c r="F173" s="17">
        <v>46154</v>
      </c>
      <c r="G173" t="s">
        <v>184</v>
      </c>
      <c r="H173" t="s">
        <v>27</v>
      </c>
      <c r="I173" t="s">
        <v>90</v>
      </c>
      <c r="J173" s="30">
        <v>-32.666666666666664</v>
      </c>
      <c r="L173" s="33">
        <v>-32.666666666666664</v>
      </c>
      <c r="M173" t="s">
        <v>185</v>
      </c>
      <c r="N173" t="s">
        <v>216</v>
      </c>
      <c r="O173" s="34" t="s">
        <v>383</v>
      </c>
      <c r="P173" t="s">
        <v>187</v>
      </c>
      <c r="Q173" t="s">
        <v>23</v>
      </c>
      <c r="R173" t="s">
        <v>23</v>
      </c>
      <c r="S173" t="s">
        <v>25</v>
      </c>
      <c r="T173" t="str">
        <f>_xlfn.XLOOKUP(Tabela14[[#This Row],[Categoria]],CATEGORIAS!$C:$C,CATEGORIAS!$D:$D,"")</f>
        <v>2.1 Despesas Diretas</v>
      </c>
    </row>
    <row r="174" spans="6:20" x14ac:dyDescent="0.25">
      <c r="F174" s="17">
        <v>46154</v>
      </c>
      <c r="G174" t="s">
        <v>184</v>
      </c>
      <c r="H174" t="s">
        <v>27</v>
      </c>
      <c r="I174" t="s">
        <v>90</v>
      </c>
      <c r="J174" s="30">
        <v>-86</v>
      </c>
      <c r="L174" s="33">
        <v>-86</v>
      </c>
      <c r="M174" t="s">
        <v>185</v>
      </c>
      <c r="N174" t="s">
        <v>216</v>
      </c>
      <c r="O174" s="34" t="s">
        <v>384</v>
      </c>
      <c r="P174" t="s">
        <v>187</v>
      </c>
      <c r="Q174" t="s">
        <v>23</v>
      </c>
      <c r="R174" t="s">
        <v>23</v>
      </c>
      <c r="S174" t="s">
        <v>25</v>
      </c>
      <c r="T174" t="str">
        <f>_xlfn.XLOOKUP(Tabela14[[#This Row],[Categoria]],CATEGORIAS!$C:$C,CATEGORIAS!$D:$D,"")</f>
        <v>2.1 Despesas Diretas</v>
      </c>
    </row>
    <row r="175" spans="6:20" x14ac:dyDescent="0.25">
      <c r="F175" s="17">
        <v>46154</v>
      </c>
      <c r="G175" t="s">
        <v>184</v>
      </c>
      <c r="H175" t="s">
        <v>27</v>
      </c>
      <c r="I175" t="s">
        <v>90</v>
      </c>
      <c r="J175" s="30">
        <v>-265.33333333333331</v>
      </c>
      <c r="L175" s="33">
        <v>-265.33333333333331</v>
      </c>
      <c r="M175" t="s">
        <v>185</v>
      </c>
      <c r="N175" t="s">
        <v>216</v>
      </c>
      <c r="O175" s="34" t="s">
        <v>385</v>
      </c>
      <c r="P175" t="s">
        <v>187</v>
      </c>
      <c r="Q175" t="s">
        <v>23</v>
      </c>
      <c r="R175" t="s">
        <v>23</v>
      </c>
      <c r="S175" t="s">
        <v>25</v>
      </c>
      <c r="T175" t="str">
        <f>_xlfn.XLOOKUP(Tabela14[[#This Row],[Categoria]],CATEGORIAS!$C:$C,CATEGORIAS!$D:$D,"")</f>
        <v>2.1 Despesas Diretas</v>
      </c>
    </row>
    <row r="176" spans="6:20" x14ac:dyDescent="0.25">
      <c r="F176" s="17">
        <v>46168</v>
      </c>
      <c r="G176" t="s">
        <v>184</v>
      </c>
      <c r="H176" t="s">
        <v>27</v>
      </c>
      <c r="I176" t="s">
        <v>90</v>
      </c>
      <c r="J176" s="31">
        <v>-1516.8000000000002</v>
      </c>
      <c r="L176" s="33">
        <v>-1516.8000000000002</v>
      </c>
      <c r="M176" t="s">
        <v>185</v>
      </c>
      <c r="N176" t="s">
        <v>216</v>
      </c>
      <c r="O176" s="34" t="s">
        <v>355</v>
      </c>
      <c r="P176" t="s">
        <v>187</v>
      </c>
      <c r="Q176" t="s">
        <v>23</v>
      </c>
      <c r="R176" t="s">
        <v>23</v>
      </c>
      <c r="S176" t="s">
        <v>25</v>
      </c>
      <c r="T176" t="str">
        <f>_xlfn.XLOOKUP(Tabela14[[#This Row],[Categoria]],CATEGORIAS!$C:$C,CATEGORIAS!$D:$D,"")</f>
        <v>2.1 Despesas Diretas</v>
      </c>
    </row>
    <row r="177" spans="6:20" x14ac:dyDescent="0.25">
      <c r="F177" s="17">
        <v>46168</v>
      </c>
      <c r="G177" t="s">
        <v>184</v>
      </c>
      <c r="H177" t="s">
        <v>27</v>
      </c>
      <c r="I177" t="s">
        <v>90</v>
      </c>
      <c r="J177" s="31">
        <v>-507.73333333333335</v>
      </c>
      <c r="L177" s="33">
        <v>-507.73333333333335</v>
      </c>
      <c r="M177" t="s">
        <v>185</v>
      </c>
      <c r="N177" t="s">
        <v>216</v>
      </c>
      <c r="O177" s="34" t="s">
        <v>356</v>
      </c>
      <c r="P177" t="s">
        <v>187</v>
      </c>
      <c r="Q177" t="s">
        <v>23</v>
      </c>
      <c r="R177" t="s">
        <v>23</v>
      </c>
      <c r="S177" t="s">
        <v>25</v>
      </c>
      <c r="T177" t="str">
        <f>_xlfn.XLOOKUP(Tabela14[[#This Row],[Categoria]],CATEGORIAS!$C:$C,CATEGORIAS!$D:$D,"")</f>
        <v>2.1 Despesas Diretas</v>
      </c>
    </row>
    <row r="178" spans="6:20" x14ac:dyDescent="0.25">
      <c r="F178" s="17">
        <v>46168</v>
      </c>
      <c r="G178" t="s">
        <v>184</v>
      </c>
      <c r="H178" t="s">
        <v>27</v>
      </c>
      <c r="I178" t="s">
        <v>90</v>
      </c>
      <c r="J178" s="30">
        <v>-373.33333333333331</v>
      </c>
      <c r="L178" s="33">
        <v>-373.33333333333331</v>
      </c>
      <c r="M178" t="s">
        <v>185</v>
      </c>
      <c r="N178" t="s">
        <v>216</v>
      </c>
      <c r="O178" s="34" t="s">
        <v>357</v>
      </c>
      <c r="P178" t="s">
        <v>187</v>
      </c>
      <c r="Q178" t="s">
        <v>23</v>
      </c>
      <c r="R178" t="s">
        <v>23</v>
      </c>
      <c r="S178" t="s">
        <v>25</v>
      </c>
      <c r="T178" t="str">
        <f>_xlfn.XLOOKUP(Tabela14[[#This Row],[Categoria]],CATEGORIAS!$C:$C,CATEGORIAS!$D:$D,"")</f>
        <v>2.1 Despesas Diretas</v>
      </c>
    </row>
    <row r="179" spans="6:20" x14ac:dyDescent="0.25">
      <c r="F179" s="17">
        <v>46168</v>
      </c>
      <c r="G179" t="s">
        <v>184</v>
      </c>
      <c r="H179" t="s">
        <v>27</v>
      </c>
      <c r="I179" t="s">
        <v>90</v>
      </c>
      <c r="J179" s="31">
        <v>-1578.6666666666667</v>
      </c>
      <c r="L179" s="33">
        <v>-1578.6666666666667</v>
      </c>
      <c r="M179" t="s">
        <v>185</v>
      </c>
      <c r="N179" t="s">
        <v>216</v>
      </c>
      <c r="O179" s="34" t="s">
        <v>358</v>
      </c>
      <c r="P179" t="s">
        <v>187</v>
      </c>
      <c r="Q179" t="s">
        <v>23</v>
      </c>
      <c r="R179" t="s">
        <v>23</v>
      </c>
      <c r="S179" t="s">
        <v>25</v>
      </c>
      <c r="T179" t="str">
        <f>_xlfn.XLOOKUP(Tabela14[[#This Row],[Categoria]],CATEGORIAS!$C:$C,CATEGORIAS!$D:$D,"")</f>
        <v>2.1 Despesas Diretas</v>
      </c>
    </row>
    <row r="180" spans="6:20" x14ac:dyDescent="0.25">
      <c r="F180" s="17">
        <v>46168</v>
      </c>
      <c r="G180" t="s">
        <v>184</v>
      </c>
      <c r="H180" t="s">
        <v>27</v>
      </c>
      <c r="I180" t="s">
        <v>90</v>
      </c>
      <c r="J180" s="31">
        <v>-1277.4399999999998</v>
      </c>
      <c r="L180" s="33">
        <v>-1277.4399999999998</v>
      </c>
      <c r="M180" t="s">
        <v>185</v>
      </c>
      <c r="N180" t="s">
        <v>216</v>
      </c>
      <c r="O180" s="34" t="s">
        <v>359</v>
      </c>
      <c r="P180" t="s">
        <v>187</v>
      </c>
      <c r="Q180" t="s">
        <v>23</v>
      </c>
      <c r="R180" t="s">
        <v>23</v>
      </c>
      <c r="S180" t="s">
        <v>25</v>
      </c>
      <c r="T180" t="str">
        <f>_xlfn.XLOOKUP(Tabela14[[#This Row],[Categoria]],CATEGORIAS!$C:$C,CATEGORIAS!$D:$D,"")</f>
        <v>2.1 Despesas Diretas</v>
      </c>
    </row>
    <row r="181" spans="6:20" x14ac:dyDescent="0.25">
      <c r="F181" s="17">
        <v>46168</v>
      </c>
      <c r="G181" t="s">
        <v>184</v>
      </c>
      <c r="H181" t="s">
        <v>27</v>
      </c>
      <c r="I181" t="s">
        <v>90</v>
      </c>
      <c r="J181" s="31">
        <v>-181.33333333333334</v>
      </c>
      <c r="L181" s="33">
        <v>-181.33333333333334</v>
      </c>
      <c r="M181" t="s">
        <v>185</v>
      </c>
      <c r="N181" t="s">
        <v>216</v>
      </c>
      <c r="O181" s="34" t="s">
        <v>360</v>
      </c>
      <c r="P181" t="s">
        <v>187</v>
      </c>
      <c r="Q181" t="s">
        <v>23</v>
      </c>
      <c r="R181" t="s">
        <v>23</v>
      </c>
      <c r="S181" t="s">
        <v>25</v>
      </c>
      <c r="T181" t="str">
        <f>_xlfn.XLOOKUP(Tabela14[[#This Row],[Categoria]],CATEGORIAS!$C:$C,CATEGORIAS!$D:$D,"")</f>
        <v>2.1 Despesas Diretas</v>
      </c>
    </row>
    <row r="182" spans="6:20" x14ac:dyDescent="0.25">
      <c r="F182" s="17">
        <v>46168</v>
      </c>
      <c r="G182" t="s">
        <v>184</v>
      </c>
      <c r="H182" t="s">
        <v>27</v>
      </c>
      <c r="I182" t="s">
        <v>90</v>
      </c>
      <c r="J182" s="30">
        <v>-181.33333333333334</v>
      </c>
      <c r="L182" s="33">
        <v>-181.33333333333334</v>
      </c>
      <c r="M182" t="s">
        <v>185</v>
      </c>
      <c r="N182" t="s">
        <v>216</v>
      </c>
      <c r="O182" s="34" t="s">
        <v>361</v>
      </c>
      <c r="P182" t="s">
        <v>187</v>
      </c>
      <c r="Q182" t="s">
        <v>23</v>
      </c>
      <c r="R182" t="s">
        <v>23</v>
      </c>
      <c r="S182" t="s">
        <v>25</v>
      </c>
      <c r="T182" t="str">
        <f>_xlfn.XLOOKUP(Tabela14[[#This Row],[Categoria]],CATEGORIAS!$C:$C,CATEGORIAS!$D:$D,"")</f>
        <v>2.1 Despesas Diretas</v>
      </c>
    </row>
    <row r="183" spans="6:20" x14ac:dyDescent="0.25">
      <c r="F183" s="17">
        <v>46168</v>
      </c>
      <c r="G183" t="s">
        <v>184</v>
      </c>
      <c r="H183" t="s">
        <v>27</v>
      </c>
      <c r="I183" t="s">
        <v>90</v>
      </c>
      <c r="J183" s="31">
        <v>-221.86666666666667</v>
      </c>
      <c r="L183" s="33">
        <v>-221.86666666666667</v>
      </c>
      <c r="M183" t="s">
        <v>185</v>
      </c>
      <c r="N183" t="s">
        <v>216</v>
      </c>
      <c r="O183" s="34" t="s">
        <v>362</v>
      </c>
      <c r="P183" t="s">
        <v>187</v>
      </c>
      <c r="Q183" t="s">
        <v>23</v>
      </c>
      <c r="R183" t="s">
        <v>23</v>
      </c>
      <c r="S183" t="s">
        <v>25</v>
      </c>
      <c r="T183" t="str">
        <f>_xlfn.XLOOKUP(Tabela14[[#This Row],[Categoria]],CATEGORIAS!$C:$C,CATEGORIAS!$D:$D,"")</f>
        <v>2.1 Despesas Diretas</v>
      </c>
    </row>
    <row r="184" spans="6:20" x14ac:dyDescent="0.25">
      <c r="F184" s="17">
        <v>46168</v>
      </c>
      <c r="G184" t="s">
        <v>184</v>
      </c>
      <c r="H184" t="s">
        <v>27</v>
      </c>
      <c r="I184" t="s">
        <v>90</v>
      </c>
      <c r="J184" s="30">
        <v>-61.866666666666667</v>
      </c>
      <c r="L184" s="33">
        <v>-61.866666666666667</v>
      </c>
      <c r="M184" t="s">
        <v>185</v>
      </c>
      <c r="N184" t="s">
        <v>216</v>
      </c>
      <c r="O184" s="34" t="s">
        <v>363</v>
      </c>
      <c r="P184" t="s">
        <v>187</v>
      </c>
      <c r="Q184" t="s">
        <v>23</v>
      </c>
      <c r="R184" t="s">
        <v>23</v>
      </c>
      <c r="S184" t="s">
        <v>25</v>
      </c>
      <c r="T184" t="str">
        <f>_xlfn.XLOOKUP(Tabela14[[#This Row],[Categoria]],CATEGORIAS!$C:$C,CATEGORIAS!$D:$D,"")</f>
        <v>2.1 Despesas Diretas</v>
      </c>
    </row>
    <row r="185" spans="6:20" x14ac:dyDescent="0.25">
      <c r="F185" s="17">
        <v>46168</v>
      </c>
      <c r="G185" t="s">
        <v>184</v>
      </c>
      <c r="H185" t="s">
        <v>27</v>
      </c>
      <c r="I185" t="s">
        <v>90</v>
      </c>
      <c r="J185" s="31">
        <v>-201.6</v>
      </c>
      <c r="L185" s="33">
        <v>-201.6</v>
      </c>
      <c r="M185" t="s">
        <v>185</v>
      </c>
      <c r="N185" t="s">
        <v>216</v>
      </c>
      <c r="O185" s="34" t="s">
        <v>364</v>
      </c>
      <c r="P185" t="s">
        <v>187</v>
      </c>
      <c r="Q185" t="s">
        <v>23</v>
      </c>
      <c r="R185" t="s">
        <v>23</v>
      </c>
      <c r="S185" t="s">
        <v>25</v>
      </c>
      <c r="T185" t="str">
        <f>_xlfn.XLOOKUP(Tabela14[[#This Row],[Categoria]],CATEGORIAS!$C:$C,CATEGORIAS!$D:$D,"")</f>
        <v>2.1 Despesas Diretas</v>
      </c>
    </row>
    <row r="186" spans="6:20" x14ac:dyDescent="0.25">
      <c r="F186" s="17">
        <v>46168</v>
      </c>
      <c r="G186" t="s">
        <v>184</v>
      </c>
      <c r="H186" t="s">
        <v>27</v>
      </c>
      <c r="I186" t="s">
        <v>90</v>
      </c>
      <c r="J186" s="31">
        <v>-76.8</v>
      </c>
      <c r="L186" s="33">
        <v>-76.8</v>
      </c>
      <c r="M186" t="s">
        <v>185</v>
      </c>
      <c r="N186" t="s">
        <v>216</v>
      </c>
      <c r="O186" s="34" t="s">
        <v>365</v>
      </c>
      <c r="P186" t="s">
        <v>187</v>
      </c>
      <c r="Q186" t="s">
        <v>23</v>
      </c>
      <c r="R186" t="s">
        <v>23</v>
      </c>
      <c r="S186" t="s">
        <v>25</v>
      </c>
      <c r="T186" t="str">
        <f>_xlfn.XLOOKUP(Tabela14[[#This Row],[Categoria]],CATEGORIAS!$C:$C,CATEGORIAS!$D:$D,"")</f>
        <v>2.1 Despesas Diretas</v>
      </c>
    </row>
    <row r="187" spans="6:20" x14ac:dyDescent="0.25">
      <c r="F187" s="17">
        <v>46168</v>
      </c>
      <c r="G187" t="s">
        <v>184</v>
      </c>
      <c r="H187" t="s">
        <v>27</v>
      </c>
      <c r="I187" t="s">
        <v>90</v>
      </c>
      <c r="J187" s="31">
        <v>0</v>
      </c>
      <c r="L187" s="33">
        <v>0</v>
      </c>
      <c r="M187" t="s">
        <v>185</v>
      </c>
      <c r="N187" t="s">
        <v>216</v>
      </c>
      <c r="O187" s="34" t="s">
        <v>366</v>
      </c>
      <c r="P187" t="s">
        <v>187</v>
      </c>
      <c r="Q187" t="s">
        <v>23</v>
      </c>
      <c r="R187" t="s">
        <v>23</v>
      </c>
      <c r="S187" t="s">
        <v>25</v>
      </c>
      <c r="T187" t="str">
        <f>_xlfn.XLOOKUP(Tabela14[[#This Row],[Categoria]],CATEGORIAS!$C:$C,CATEGORIAS!$D:$D,"")</f>
        <v>2.1 Despesas Diretas</v>
      </c>
    </row>
    <row r="188" spans="6:20" x14ac:dyDescent="0.25">
      <c r="F188" s="17">
        <v>46168</v>
      </c>
      <c r="G188" t="s">
        <v>184</v>
      </c>
      <c r="H188" t="s">
        <v>27</v>
      </c>
      <c r="I188" t="s">
        <v>90</v>
      </c>
      <c r="J188" s="30">
        <v>-424.5333333333333</v>
      </c>
      <c r="L188" s="33">
        <v>-424.5333333333333</v>
      </c>
      <c r="M188" t="s">
        <v>185</v>
      </c>
      <c r="N188" t="s">
        <v>216</v>
      </c>
      <c r="O188" s="34" t="s">
        <v>367</v>
      </c>
      <c r="P188" t="s">
        <v>187</v>
      </c>
      <c r="Q188" t="s">
        <v>23</v>
      </c>
      <c r="R188" t="s">
        <v>23</v>
      </c>
      <c r="S188" t="s">
        <v>25</v>
      </c>
      <c r="T188" t="str">
        <f>_xlfn.XLOOKUP(Tabela14[[#This Row],[Categoria]],CATEGORIAS!$C:$C,CATEGORIAS!$D:$D,"")</f>
        <v>2.1 Despesas Diretas</v>
      </c>
    </row>
    <row r="189" spans="6:20" x14ac:dyDescent="0.25">
      <c r="F189" s="17">
        <v>46168</v>
      </c>
      <c r="G189" t="s">
        <v>184</v>
      </c>
      <c r="H189" t="s">
        <v>27</v>
      </c>
      <c r="I189" t="s">
        <v>90</v>
      </c>
      <c r="J189" s="30">
        <v>-424.5333333333333</v>
      </c>
      <c r="L189" s="33">
        <v>-424.5333333333333</v>
      </c>
      <c r="M189" t="s">
        <v>185</v>
      </c>
      <c r="N189" t="s">
        <v>216</v>
      </c>
      <c r="O189" s="34" t="s">
        <v>368</v>
      </c>
      <c r="P189" t="s">
        <v>187</v>
      </c>
      <c r="Q189" t="s">
        <v>23</v>
      </c>
      <c r="R189" t="s">
        <v>23</v>
      </c>
      <c r="S189" t="s">
        <v>25</v>
      </c>
      <c r="T189" t="str">
        <f>_xlfn.XLOOKUP(Tabela14[[#This Row],[Categoria]],CATEGORIAS!$C:$C,CATEGORIAS!$D:$D,"")</f>
        <v>2.1 Despesas Diretas</v>
      </c>
    </row>
    <row r="190" spans="6:20" x14ac:dyDescent="0.25">
      <c r="F190" s="17">
        <v>46168</v>
      </c>
      <c r="G190" t="s">
        <v>184</v>
      </c>
      <c r="H190" t="s">
        <v>27</v>
      </c>
      <c r="I190" t="s">
        <v>90</v>
      </c>
      <c r="J190" s="30">
        <v>0</v>
      </c>
      <c r="L190" s="33">
        <v>0</v>
      </c>
      <c r="M190" t="s">
        <v>185</v>
      </c>
      <c r="N190" t="s">
        <v>216</v>
      </c>
      <c r="O190" s="34" t="s">
        <v>369</v>
      </c>
      <c r="P190" t="s">
        <v>187</v>
      </c>
      <c r="Q190" t="s">
        <v>23</v>
      </c>
      <c r="R190" t="s">
        <v>23</v>
      </c>
      <c r="S190" t="s">
        <v>25</v>
      </c>
      <c r="T190" t="str">
        <f>_xlfn.XLOOKUP(Tabela14[[#This Row],[Categoria]],CATEGORIAS!$C:$C,CATEGORIAS!$D:$D,"")</f>
        <v>2.1 Despesas Diretas</v>
      </c>
    </row>
    <row r="191" spans="6:20" x14ac:dyDescent="0.25">
      <c r="F191" s="17">
        <v>46168</v>
      </c>
      <c r="G191" t="s">
        <v>184</v>
      </c>
      <c r="H191" t="s">
        <v>27</v>
      </c>
      <c r="I191" t="s">
        <v>90</v>
      </c>
      <c r="J191" s="30">
        <v>-1574.3999999999999</v>
      </c>
      <c r="L191" s="33">
        <v>-1574.3999999999999</v>
      </c>
      <c r="M191" t="s">
        <v>185</v>
      </c>
      <c r="N191" t="s">
        <v>216</v>
      </c>
      <c r="O191" s="34" t="s">
        <v>370</v>
      </c>
      <c r="P191" t="s">
        <v>187</v>
      </c>
      <c r="Q191" t="s">
        <v>23</v>
      </c>
      <c r="R191" t="s">
        <v>23</v>
      </c>
      <c r="S191" t="s">
        <v>25</v>
      </c>
      <c r="T191" t="str">
        <f>_xlfn.XLOOKUP(Tabela14[[#This Row],[Categoria]],CATEGORIAS!$C:$C,CATEGORIAS!$D:$D,"")</f>
        <v>2.1 Despesas Diretas</v>
      </c>
    </row>
    <row r="192" spans="6:20" x14ac:dyDescent="0.25">
      <c r="F192" s="17">
        <v>46168</v>
      </c>
      <c r="G192" t="s">
        <v>184</v>
      </c>
      <c r="H192" t="s">
        <v>27</v>
      </c>
      <c r="I192" t="s">
        <v>90</v>
      </c>
      <c r="J192" s="30">
        <v>-61.866666666666667</v>
      </c>
      <c r="L192" s="33">
        <v>-61.866666666666667</v>
      </c>
      <c r="M192" t="s">
        <v>185</v>
      </c>
      <c r="N192" t="s">
        <v>216</v>
      </c>
      <c r="O192" s="34" t="s">
        <v>371</v>
      </c>
      <c r="P192" t="s">
        <v>187</v>
      </c>
      <c r="Q192" t="s">
        <v>23</v>
      </c>
      <c r="R192" t="s">
        <v>23</v>
      </c>
      <c r="S192" t="s">
        <v>25</v>
      </c>
      <c r="T192" t="str">
        <f>_xlfn.XLOOKUP(Tabela14[[#This Row],[Categoria]],CATEGORIAS!$C:$C,CATEGORIAS!$D:$D,"")</f>
        <v>2.1 Despesas Diretas</v>
      </c>
    </row>
    <row r="193" spans="4:20" x14ac:dyDescent="0.25">
      <c r="F193" s="17">
        <v>46168</v>
      </c>
      <c r="G193" t="s">
        <v>184</v>
      </c>
      <c r="H193" t="s">
        <v>27</v>
      </c>
      <c r="I193" t="s">
        <v>90</v>
      </c>
      <c r="J193" s="30">
        <v>-61.866666666666667</v>
      </c>
      <c r="L193" s="33">
        <v>-61.866666666666667</v>
      </c>
      <c r="M193" t="s">
        <v>185</v>
      </c>
      <c r="N193" t="s">
        <v>216</v>
      </c>
      <c r="O193" s="34" t="s">
        <v>321</v>
      </c>
      <c r="P193" t="s">
        <v>187</v>
      </c>
      <c r="Q193" t="s">
        <v>23</v>
      </c>
      <c r="R193" t="s">
        <v>23</v>
      </c>
      <c r="S193" t="s">
        <v>25</v>
      </c>
      <c r="T193" t="str">
        <f>_xlfn.XLOOKUP(Tabela14[[#This Row],[Categoria]],CATEGORIAS!$C:$C,CATEGORIAS!$D:$D,"")</f>
        <v>2.1 Despesas Diretas</v>
      </c>
    </row>
    <row r="194" spans="4:20" x14ac:dyDescent="0.25">
      <c r="F194" s="17">
        <v>46168</v>
      </c>
      <c r="G194" t="s">
        <v>184</v>
      </c>
      <c r="H194" t="s">
        <v>27</v>
      </c>
      <c r="I194" t="s">
        <v>90</v>
      </c>
      <c r="J194" s="31">
        <v>-635.73333333333335</v>
      </c>
      <c r="L194" s="33">
        <v>-635.73333333333335</v>
      </c>
      <c r="M194" t="s">
        <v>185</v>
      </c>
      <c r="N194" t="s">
        <v>216</v>
      </c>
      <c r="O194" s="34" t="s">
        <v>372</v>
      </c>
      <c r="P194" t="s">
        <v>187</v>
      </c>
      <c r="Q194" t="s">
        <v>23</v>
      </c>
      <c r="R194" t="s">
        <v>23</v>
      </c>
      <c r="S194" t="s">
        <v>25</v>
      </c>
      <c r="T194" t="str">
        <f>_xlfn.XLOOKUP(Tabela14[[#This Row],[Categoria]],CATEGORIAS!$C:$C,CATEGORIAS!$D:$D,"")</f>
        <v>2.1 Despesas Diretas</v>
      </c>
    </row>
    <row r="195" spans="4:20" x14ac:dyDescent="0.25">
      <c r="F195" s="17">
        <v>46168</v>
      </c>
      <c r="G195" t="s">
        <v>184</v>
      </c>
      <c r="H195" t="s">
        <v>27</v>
      </c>
      <c r="I195" t="s">
        <v>90</v>
      </c>
      <c r="J195" s="30">
        <v>-360.5333333333333</v>
      </c>
      <c r="L195" s="33">
        <v>-360.5333333333333</v>
      </c>
      <c r="M195" t="s">
        <v>185</v>
      </c>
      <c r="N195" t="s">
        <v>216</v>
      </c>
      <c r="O195" s="34" t="s">
        <v>373</v>
      </c>
      <c r="P195" t="s">
        <v>187</v>
      </c>
      <c r="Q195" t="s">
        <v>23</v>
      </c>
      <c r="R195" t="s">
        <v>23</v>
      </c>
      <c r="S195" t="s">
        <v>25</v>
      </c>
      <c r="T195" t="str">
        <f>_xlfn.XLOOKUP(Tabela14[[#This Row],[Categoria]],CATEGORIAS!$C:$C,CATEGORIAS!$D:$D,"")</f>
        <v>2.1 Despesas Diretas</v>
      </c>
    </row>
    <row r="196" spans="4:20" x14ac:dyDescent="0.25">
      <c r="F196" s="17">
        <v>46168</v>
      </c>
      <c r="G196" t="s">
        <v>184</v>
      </c>
      <c r="H196" t="s">
        <v>27</v>
      </c>
      <c r="I196" t="s">
        <v>90</v>
      </c>
      <c r="J196" s="31">
        <v>-305.06666666666666</v>
      </c>
      <c r="L196" s="33">
        <v>-305.06666666666666</v>
      </c>
      <c r="M196" t="s">
        <v>185</v>
      </c>
      <c r="N196" t="s">
        <v>216</v>
      </c>
      <c r="O196" s="34" t="s">
        <v>374</v>
      </c>
      <c r="P196" t="s">
        <v>187</v>
      </c>
      <c r="Q196" t="s">
        <v>23</v>
      </c>
      <c r="R196" t="s">
        <v>23</v>
      </c>
      <c r="S196" t="s">
        <v>25</v>
      </c>
      <c r="T196" t="str">
        <f>_xlfn.XLOOKUP(Tabela14[[#This Row],[Categoria]],CATEGORIAS!$C:$C,CATEGORIAS!$D:$D,"")</f>
        <v>2.1 Despesas Diretas</v>
      </c>
    </row>
    <row r="197" spans="4:20" x14ac:dyDescent="0.25">
      <c r="F197" s="17">
        <v>46168</v>
      </c>
      <c r="G197" t="s">
        <v>184</v>
      </c>
      <c r="H197" t="s">
        <v>27</v>
      </c>
      <c r="I197" t="s">
        <v>90</v>
      </c>
      <c r="J197" s="30">
        <v>-23.466666666666669</v>
      </c>
      <c r="L197" s="33">
        <v>-23.466666666666669</v>
      </c>
      <c r="M197" t="s">
        <v>185</v>
      </c>
      <c r="N197" t="s">
        <v>216</v>
      </c>
      <c r="O197" s="34" t="s">
        <v>375</v>
      </c>
      <c r="P197" t="s">
        <v>187</v>
      </c>
      <c r="Q197" t="s">
        <v>23</v>
      </c>
      <c r="R197" t="s">
        <v>23</v>
      </c>
      <c r="S197" t="s">
        <v>25</v>
      </c>
      <c r="T197" t="str">
        <f>_xlfn.XLOOKUP(Tabela14[[#This Row],[Categoria]],CATEGORIAS!$C:$C,CATEGORIAS!$D:$D,"")</f>
        <v>2.1 Despesas Diretas</v>
      </c>
    </row>
    <row r="198" spans="4:20" x14ac:dyDescent="0.25">
      <c r="F198" s="17">
        <v>46168</v>
      </c>
      <c r="G198" t="s">
        <v>184</v>
      </c>
      <c r="H198" t="s">
        <v>27</v>
      </c>
      <c r="I198" t="s">
        <v>90</v>
      </c>
      <c r="J198" s="30">
        <v>-956.44444444444446</v>
      </c>
      <c r="L198" s="33">
        <v>-956.44444444444446</v>
      </c>
      <c r="M198" t="s">
        <v>185</v>
      </c>
      <c r="N198" t="s">
        <v>216</v>
      </c>
      <c r="O198" s="34" t="s">
        <v>376</v>
      </c>
      <c r="P198" t="s">
        <v>187</v>
      </c>
      <c r="Q198" t="s">
        <v>23</v>
      </c>
      <c r="R198" t="s">
        <v>23</v>
      </c>
      <c r="S198" t="s">
        <v>25</v>
      </c>
      <c r="T198" t="str">
        <f>_xlfn.XLOOKUP(Tabela14[[#This Row],[Categoria]],CATEGORIAS!$C:$C,CATEGORIAS!$D:$D,"")</f>
        <v>2.1 Despesas Diretas</v>
      </c>
    </row>
    <row r="199" spans="4:20" x14ac:dyDescent="0.25">
      <c r="F199" s="17">
        <v>46168</v>
      </c>
      <c r="G199" t="s">
        <v>184</v>
      </c>
      <c r="H199" t="s">
        <v>27</v>
      </c>
      <c r="I199" t="s">
        <v>90</v>
      </c>
      <c r="J199" s="31">
        <v>-121.59999999999998</v>
      </c>
      <c r="L199" s="33">
        <v>-121.59999999999998</v>
      </c>
      <c r="M199" t="s">
        <v>185</v>
      </c>
      <c r="N199" t="s">
        <v>216</v>
      </c>
      <c r="O199" s="34" t="s">
        <v>377</v>
      </c>
      <c r="P199" t="s">
        <v>187</v>
      </c>
      <c r="Q199" t="s">
        <v>23</v>
      </c>
      <c r="R199" t="s">
        <v>23</v>
      </c>
      <c r="S199" t="s">
        <v>25</v>
      </c>
      <c r="T199" t="str">
        <f>_xlfn.XLOOKUP(Tabela14[[#This Row],[Categoria]],CATEGORIAS!$C:$C,CATEGORIAS!$D:$D,"")</f>
        <v>2.1 Despesas Diretas</v>
      </c>
    </row>
    <row r="200" spans="4:20" x14ac:dyDescent="0.25">
      <c r="F200" s="17">
        <v>46168</v>
      </c>
      <c r="G200" t="s">
        <v>184</v>
      </c>
      <c r="H200" t="s">
        <v>27</v>
      </c>
      <c r="I200" t="s">
        <v>90</v>
      </c>
      <c r="J200" s="31">
        <v>-272</v>
      </c>
      <c r="L200" s="33">
        <v>-272</v>
      </c>
      <c r="M200" t="s">
        <v>185</v>
      </c>
      <c r="N200" t="s">
        <v>216</v>
      </c>
      <c r="O200" s="34" t="s">
        <v>378</v>
      </c>
      <c r="P200" t="s">
        <v>187</v>
      </c>
      <c r="Q200" t="s">
        <v>23</v>
      </c>
      <c r="R200" t="s">
        <v>23</v>
      </c>
      <c r="S200" t="s">
        <v>25</v>
      </c>
      <c r="T200" t="str">
        <f>_xlfn.XLOOKUP(Tabela14[[#This Row],[Categoria]],CATEGORIAS!$C:$C,CATEGORIAS!$D:$D,"")</f>
        <v>2.1 Despesas Diretas</v>
      </c>
    </row>
    <row r="201" spans="4:20" x14ac:dyDescent="0.25">
      <c r="F201" s="17">
        <v>46168</v>
      </c>
      <c r="G201" t="s">
        <v>184</v>
      </c>
      <c r="H201" t="s">
        <v>27</v>
      </c>
      <c r="I201" t="s">
        <v>90</v>
      </c>
      <c r="J201" s="31">
        <v>-453.33333333333331</v>
      </c>
      <c r="L201" s="33">
        <v>-453.33333333333331</v>
      </c>
      <c r="M201" t="s">
        <v>185</v>
      </c>
      <c r="N201" t="s">
        <v>216</v>
      </c>
      <c r="O201" s="34" t="s">
        <v>379</v>
      </c>
      <c r="P201" t="s">
        <v>187</v>
      </c>
      <c r="Q201" t="s">
        <v>23</v>
      </c>
      <c r="R201" t="s">
        <v>23</v>
      </c>
      <c r="S201" t="s">
        <v>25</v>
      </c>
      <c r="T201" t="str">
        <f>_xlfn.XLOOKUP(Tabela14[[#This Row],[Categoria]],CATEGORIAS!$C:$C,CATEGORIAS!$D:$D,"")</f>
        <v>2.1 Despesas Diretas</v>
      </c>
    </row>
    <row r="202" spans="4:20" x14ac:dyDescent="0.25">
      <c r="F202" s="17">
        <v>46168</v>
      </c>
      <c r="G202" t="s">
        <v>184</v>
      </c>
      <c r="H202" t="s">
        <v>27</v>
      </c>
      <c r="I202" t="s">
        <v>90</v>
      </c>
      <c r="J202" s="31">
        <v>-266.66666666666669</v>
      </c>
      <c r="L202" s="33">
        <v>-266.66666666666669</v>
      </c>
      <c r="M202" t="s">
        <v>185</v>
      </c>
      <c r="N202" t="s">
        <v>216</v>
      </c>
      <c r="O202" s="34" t="s">
        <v>380</v>
      </c>
      <c r="P202" t="s">
        <v>187</v>
      </c>
      <c r="Q202" t="s">
        <v>23</v>
      </c>
      <c r="R202" t="s">
        <v>23</v>
      </c>
      <c r="S202" t="s">
        <v>25</v>
      </c>
      <c r="T202" t="str">
        <f>_xlfn.XLOOKUP(Tabela14[[#This Row],[Categoria]],CATEGORIAS!$C:$C,CATEGORIAS!$D:$D,"")</f>
        <v>2.1 Despesas Diretas</v>
      </c>
    </row>
    <row r="203" spans="4:20" x14ac:dyDescent="0.25">
      <c r="F203" s="17">
        <v>46168</v>
      </c>
      <c r="G203" t="s">
        <v>184</v>
      </c>
      <c r="H203" t="s">
        <v>27</v>
      </c>
      <c r="I203" t="s">
        <v>90</v>
      </c>
      <c r="J203" s="31">
        <v>-1045.3333333333333</v>
      </c>
      <c r="L203" s="33">
        <v>-1045.3333333333333</v>
      </c>
      <c r="M203" t="s">
        <v>185</v>
      </c>
      <c r="N203" t="s">
        <v>216</v>
      </c>
      <c r="O203" s="34" t="s">
        <v>381</v>
      </c>
      <c r="P203" t="s">
        <v>187</v>
      </c>
      <c r="Q203" t="s">
        <v>23</v>
      </c>
      <c r="R203" t="s">
        <v>23</v>
      </c>
      <c r="S203" t="s">
        <v>25</v>
      </c>
      <c r="T203" t="str">
        <f>_xlfn.XLOOKUP(Tabela14[[#This Row],[Categoria]],CATEGORIAS!$C:$C,CATEGORIAS!$D:$D,"")</f>
        <v>2.1 Despesas Diretas</v>
      </c>
    </row>
    <row r="204" spans="4:20" x14ac:dyDescent="0.25">
      <c r="F204" s="17">
        <v>46168</v>
      </c>
      <c r="G204" t="s">
        <v>184</v>
      </c>
      <c r="H204" t="s">
        <v>27</v>
      </c>
      <c r="I204" t="s">
        <v>90</v>
      </c>
      <c r="J204" s="30">
        <v>-513.06666666666672</v>
      </c>
      <c r="L204" s="33">
        <v>-513.06666666666672</v>
      </c>
      <c r="M204" t="s">
        <v>185</v>
      </c>
      <c r="N204" t="s">
        <v>216</v>
      </c>
      <c r="O204" s="34" t="s">
        <v>382</v>
      </c>
      <c r="P204" t="s">
        <v>187</v>
      </c>
      <c r="Q204" t="s">
        <v>23</v>
      </c>
      <c r="R204" t="s">
        <v>23</v>
      </c>
      <c r="S204" t="s">
        <v>25</v>
      </c>
      <c r="T204" t="str">
        <f>_xlfn.XLOOKUP(Tabela14[[#This Row],[Categoria]],CATEGORIAS!$C:$C,CATEGORIAS!$D:$D,"")</f>
        <v>2.1 Despesas Diretas</v>
      </c>
    </row>
    <row r="205" spans="4:20" x14ac:dyDescent="0.25">
      <c r="F205" s="17">
        <v>46168</v>
      </c>
      <c r="G205" t="s">
        <v>184</v>
      </c>
      <c r="H205" t="s">
        <v>27</v>
      </c>
      <c r="I205" t="s">
        <v>90</v>
      </c>
      <c r="J205" s="30">
        <v>-32.666666666666664</v>
      </c>
      <c r="L205" s="33">
        <v>-32.666666666666664</v>
      </c>
      <c r="M205" t="s">
        <v>185</v>
      </c>
      <c r="N205" t="s">
        <v>216</v>
      </c>
      <c r="O205" s="34" t="s">
        <v>383</v>
      </c>
      <c r="P205" t="s">
        <v>187</v>
      </c>
      <c r="Q205" t="s">
        <v>23</v>
      </c>
      <c r="R205" t="s">
        <v>23</v>
      </c>
      <c r="S205" t="s">
        <v>25</v>
      </c>
      <c r="T205" t="str">
        <f>_xlfn.XLOOKUP(Tabela14[[#This Row],[Categoria]],CATEGORIAS!$C:$C,CATEGORIAS!$D:$D,"")</f>
        <v>2.1 Despesas Diretas</v>
      </c>
    </row>
    <row r="206" spans="4:20" x14ac:dyDescent="0.25">
      <c r="F206" s="17">
        <v>46168</v>
      </c>
      <c r="G206" t="s">
        <v>184</v>
      </c>
      <c r="H206" t="s">
        <v>27</v>
      </c>
      <c r="I206" t="s">
        <v>90</v>
      </c>
      <c r="J206" s="30">
        <v>-86</v>
      </c>
      <c r="L206" s="33">
        <v>-86</v>
      </c>
      <c r="M206" t="s">
        <v>185</v>
      </c>
      <c r="N206" t="s">
        <v>216</v>
      </c>
      <c r="O206" s="34" t="s">
        <v>384</v>
      </c>
      <c r="P206" t="s">
        <v>187</v>
      </c>
      <c r="Q206" t="s">
        <v>23</v>
      </c>
      <c r="R206" t="s">
        <v>23</v>
      </c>
      <c r="S206" t="s">
        <v>25</v>
      </c>
      <c r="T206" t="str">
        <f>_xlfn.XLOOKUP(Tabela14[[#This Row],[Categoria]],CATEGORIAS!$C:$C,CATEGORIAS!$D:$D,"")</f>
        <v>2.1 Despesas Diretas</v>
      </c>
    </row>
    <row r="207" spans="4:20" x14ac:dyDescent="0.25">
      <c r="F207" s="17">
        <v>46168</v>
      </c>
      <c r="G207" t="s">
        <v>184</v>
      </c>
      <c r="H207" t="s">
        <v>27</v>
      </c>
      <c r="I207" t="s">
        <v>90</v>
      </c>
      <c r="J207" s="30">
        <v>-265.33333333333331</v>
      </c>
      <c r="L207" s="33">
        <v>-265.33333333333331</v>
      </c>
      <c r="M207" t="s">
        <v>185</v>
      </c>
      <c r="N207" t="s">
        <v>216</v>
      </c>
      <c r="O207" s="34" t="s">
        <v>385</v>
      </c>
      <c r="P207" t="s">
        <v>187</v>
      </c>
      <c r="Q207" t="s">
        <v>23</v>
      </c>
      <c r="R207" t="s">
        <v>23</v>
      </c>
      <c r="S207" t="s">
        <v>25</v>
      </c>
      <c r="T207" t="str">
        <f>_xlfn.XLOOKUP(Tabela14[[#This Row],[Categoria]],CATEGORIAS!$C:$C,CATEGORIAS!$D:$D,"")</f>
        <v>2.1 Despesas Diretas</v>
      </c>
    </row>
    <row r="208" spans="4:20" x14ac:dyDescent="0.25">
      <c r="D208" s="1">
        <v>46178</v>
      </c>
      <c r="E208" s="1">
        <v>46178</v>
      </c>
      <c r="F208" s="17">
        <v>46168</v>
      </c>
      <c r="G208" t="s">
        <v>184</v>
      </c>
      <c r="H208" t="s">
        <v>27</v>
      </c>
      <c r="I208" t="s">
        <v>105</v>
      </c>
      <c r="J208" s="30">
        <v>-17017.599999999999</v>
      </c>
      <c r="K208" s="30">
        <v>0</v>
      </c>
      <c r="L208" s="33">
        <v>-17017.599999999999</v>
      </c>
      <c r="M208" t="s">
        <v>185</v>
      </c>
      <c r="N208" t="s">
        <v>198</v>
      </c>
      <c r="O208" s="34" t="s">
        <v>421</v>
      </c>
      <c r="P208" t="s">
        <v>187</v>
      </c>
      <c r="Q208" t="s">
        <v>23</v>
      </c>
      <c r="R208" t="s">
        <v>23</v>
      </c>
      <c r="S208" t="s">
        <v>25</v>
      </c>
      <c r="T208" t="str">
        <f>_xlfn.XLOOKUP(Tabela14[[#This Row],[Categoria]],CATEGORIAS!$C:$C,CATEGORIAS!$D:$D,"")</f>
        <v>2.1 Despesas Diretas</v>
      </c>
    </row>
    <row r="209" spans="4:20" x14ac:dyDescent="0.25">
      <c r="D209" s="1">
        <v>46178</v>
      </c>
      <c r="E209" s="1">
        <v>46178</v>
      </c>
      <c r="F209" s="17">
        <v>46168</v>
      </c>
      <c r="G209" t="s">
        <v>184</v>
      </c>
      <c r="H209" t="s">
        <v>27</v>
      </c>
      <c r="I209" t="s">
        <v>105</v>
      </c>
      <c r="J209" s="30">
        <v>-1164.8</v>
      </c>
      <c r="K209" s="30">
        <v>0</v>
      </c>
      <c r="L209" s="33">
        <v>-1164.8</v>
      </c>
      <c r="M209" t="s">
        <v>185</v>
      </c>
      <c r="N209" t="s">
        <v>198</v>
      </c>
      <c r="O209" s="34" t="s">
        <v>422</v>
      </c>
      <c r="P209" t="s">
        <v>187</v>
      </c>
      <c r="Q209" t="s">
        <v>23</v>
      </c>
      <c r="R209" t="s">
        <v>23</v>
      </c>
      <c r="S209" t="s">
        <v>25</v>
      </c>
      <c r="T209" t="str">
        <f>_xlfn.XLOOKUP(Tabela14[[#This Row],[Categoria]],CATEGORIAS!$C:$C,CATEGORIAS!$D:$D,"")</f>
        <v>2.1 Despesas Diretas</v>
      </c>
    </row>
    <row r="210" spans="4:20" x14ac:dyDescent="0.25">
      <c r="D210" s="1">
        <v>46136</v>
      </c>
      <c r="E210" s="1">
        <v>46168</v>
      </c>
      <c r="F210" s="17">
        <v>46182</v>
      </c>
      <c r="G210" t="s">
        <v>184</v>
      </c>
      <c r="H210" t="s">
        <v>27</v>
      </c>
      <c r="I210" t="s">
        <v>91</v>
      </c>
      <c r="J210" s="30">
        <v>-3003.39</v>
      </c>
      <c r="K210" s="30">
        <v>0</v>
      </c>
      <c r="L210" s="33">
        <v>-4807.99</v>
      </c>
      <c r="M210" t="s">
        <v>185</v>
      </c>
      <c r="N210" t="s">
        <v>204</v>
      </c>
      <c r="O210" s="34" t="s">
        <v>424</v>
      </c>
      <c r="P210" t="s">
        <v>187</v>
      </c>
      <c r="Q210" t="s">
        <v>23</v>
      </c>
      <c r="R210" t="s">
        <v>23</v>
      </c>
      <c r="S210" t="s">
        <v>25</v>
      </c>
      <c r="T210" t="str">
        <f>_xlfn.XLOOKUP(Tabela14[[#This Row],[Categoria]],CATEGORIAS!$C:$C,CATEGORIAS!$D:$D,"")</f>
        <v>2.1 Despesas Diretas</v>
      </c>
    </row>
    <row r="211" spans="4:20" x14ac:dyDescent="0.25">
      <c r="D211" s="1">
        <v>46150</v>
      </c>
      <c r="E211" s="1">
        <v>46182</v>
      </c>
      <c r="F211" s="17">
        <v>46196</v>
      </c>
      <c r="G211" t="s">
        <v>184</v>
      </c>
      <c r="H211" t="s">
        <v>27</v>
      </c>
      <c r="I211" t="s">
        <v>91</v>
      </c>
      <c r="J211" s="31">
        <v>-3006.59</v>
      </c>
      <c r="K211" s="31">
        <v>0</v>
      </c>
      <c r="L211" s="33">
        <v>-4807.99</v>
      </c>
      <c r="M211" t="s">
        <v>185</v>
      </c>
      <c r="N211" t="s">
        <v>204</v>
      </c>
      <c r="O211" s="34" t="s">
        <v>424</v>
      </c>
      <c r="P211" t="s">
        <v>187</v>
      </c>
      <c r="Q211" t="s">
        <v>23</v>
      </c>
      <c r="R211" t="s">
        <v>23</v>
      </c>
      <c r="S211" t="s">
        <v>25</v>
      </c>
      <c r="T211" t="str">
        <f>_xlfn.XLOOKUP(Tabela14[[#This Row],[Categoria]],CATEGORIAS!$C:$C,CATEGORIAS!$D:$D,"")</f>
        <v>2.1 Despesas Diretas</v>
      </c>
    </row>
    <row r="212" spans="4:20" x14ac:dyDescent="0.25">
      <c r="D212" s="1">
        <v>46206</v>
      </c>
      <c r="E212" s="1">
        <v>46206</v>
      </c>
      <c r="F212" s="17">
        <v>46199</v>
      </c>
      <c r="G212" t="s">
        <v>184</v>
      </c>
      <c r="H212" t="s">
        <v>27</v>
      </c>
      <c r="I212" t="s">
        <v>105</v>
      </c>
      <c r="J212" s="30">
        <v>-17017.599999999999</v>
      </c>
      <c r="K212" s="30">
        <v>0</v>
      </c>
      <c r="L212" s="33">
        <v>-17017.599999999999</v>
      </c>
      <c r="M212" t="s">
        <v>185</v>
      </c>
      <c r="N212" t="s">
        <v>198</v>
      </c>
      <c r="O212" s="34" t="s">
        <v>421</v>
      </c>
      <c r="P212" t="s">
        <v>187</v>
      </c>
      <c r="Q212" t="s">
        <v>23</v>
      </c>
      <c r="R212" t="s">
        <v>23</v>
      </c>
      <c r="S212" t="s">
        <v>25</v>
      </c>
      <c r="T212" t="str">
        <f>_xlfn.XLOOKUP(Tabela14[[#This Row],[Categoria]],CATEGORIAS!$C:$C,CATEGORIAS!$D:$D,"")</f>
        <v>2.1 Despesas Diretas</v>
      </c>
    </row>
    <row r="213" spans="4:20" x14ac:dyDescent="0.25">
      <c r="D213" s="1">
        <v>46206</v>
      </c>
      <c r="E213" s="1">
        <v>46206</v>
      </c>
      <c r="F213" s="17">
        <v>46199</v>
      </c>
      <c r="G213" t="s">
        <v>184</v>
      </c>
      <c r="H213" t="s">
        <v>27</v>
      </c>
      <c r="I213" t="s">
        <v>105</v>
      </c>
      <c r="J213" s="30">
        <v>-1164.8</v>
      </c>
      <c r="K213" s="30">
        <v>0</v>
      </c>
      <c r="L213" s="33">
        <v>-1164.8</v>
      </c>
      <c r="M213" t="s">
        <v>185</v>
      </c>
      <c r="N213" t="s">
        <v>198</v>
      </c>
      <c r="O213" s="34" t="s">
        <v>422</v>
      </c>
      <c r="P213" t="s">
        <v>187</v>
      </c>
      <c r="Q213" t="s">
        <v>23</v>
      </c>
      <c r="R213" t="s">
        <v>23</v>
      </c>
      <c r="S213" t="s">
        <v>25</v>
      </c>
      <c r="T213" t="str">
        <f>_xlfn.XLOOKUP(Tabela14[[#This Row],[Categoria]],CATEGORIAS!$C:$C,CATEGORIAS!$D:$D,"")</f>
        <v>2.1 Despesas Diretas</v>
      </c>
    </row>
    <row r="214" spans="4:20" x14ac:dyDescent="0.25">
      <c r="D214" s="1">
        <v>46178</v>
      </c>
      <c r="E214" s="1">
        <v>46178</v>
      </c>
      <c r="F214" s="17">
        <v>46182</v>
      </c>
      <c r="G214" t="s">
        <v>184</v>
      </c>
      <c r="H214" t="s">
        <v>27</v>
      </c>
      <c r="I214" t="s">
        <v>91</v>
      </c>
      <c r="J214" s="30">
        <v>-5102.72</v>
      </c>
      <c r="K214" s="30">
        <v>0</v>
      </c>
      <c r="L214" s="33">
        <v>-8160</v>
      </c>
      <c r="M214" t="s">
        <v>185</v>
      </c>
      <c r="N214" t="s">
        <v>198</v>
      </c>
      <c r="O214" s="34" t="s">
        <v>423</v>
      </c>
      <c r="P214" t="s">
        <v>187</v>
      </c>
      <c r="Q214" t="s">
        <v>23</v>
      </c>
      <c r="R214" t="s">
        <v>23</v>
      </c>
      <c r="S214" t="s">
        <v>25</v>
      </c>
      <c r="T214" t="str">
        <f>_xlfn.XLOOKUP(Tabela14[[#This Row],[Categoria]],CATEGORIAS!$C:$C,CATEGORIAS!$D:$D,"")</f>
        <v>2.1 Despesas Diretas</v>
      </c>
    </row>
    <row r="215" spans="4:20" x14ac:dyDescent="0.25">
      <c r="D215" s="1">
        <v>46192</v>
      </c>
      <c r="E215" s="1">
        <v>46192</v>
      </c>
      <c r="F215" s="17">
        <v>46196</v>
      </c>
      <c r="G215" t="s">
        <v>184</v>
      </c>
      <c r="H215" t="s">
        <v>27</v>
      </c>
      <c r="I215" t="s">
        <v>91</v>
      </c>
      <c r="J215" s="30">
        <v>-8111.07</v>
      </c>
      <c r="K215" s="30">
        <v>0</v>
      </c>
      <c r="L215" s="33">
        <v>0</v>
      </c>
      <c r="M215" t="s">
        <v>185</v>
      </c>
      <c r="N215" t="s">
        <v>204</v>
      </c>
      <c r="O215" s="34" t="s">
        <v>424</v>
      </c>
      <c r="P215" t="s">
        <v>187</v>
      </c>
      <c r="Q215" t="s">
        <v>23</v>
      </c>
      <c r="R215" t="s">
        <v>23</v>
      </c>
      <c r="S215" t="s">
        <v>25</v>
      </c>
      <c r="T215" t="str">
        <f>_xlfn.XLOOKUP(Tabela14[[#This Row],[Categoria]],CATEGORIAS!$C:$C,CATEGORIAS!$D:$D,"")</f>
        <v>2.1 Despesas Diretas</v>
      </c>
    </row>
    <row r="216" spans="4:20" x14ac:dyDescent="0.25">
      <c r="D216" s="1">
        <v>46164</v>
      </c>
      <c r="E216" s="1">
        <v>46196</v>
      </c>
      <c r="F216" s="17">
        <v>46196</v>
      </c>
      <c r="G216" t="s">
        <v>184</v>
      </c>
      <c r="H216" t="s">
        <v>27</v>
      </c>
      <c r="I216" t="s">
        <v>91</v>
      </c>
      <c r="J216" s="30">
        <v>-5097.28</v>
      </c>
      <c r="K216" s="30">
        <v>0</v>
      </c>
      <c r="L216" s="33">
        <v>-8160</v>
      </c>
      <c r="M216" t="s">
        <v>185</v>
      </c>
      <c r="N216" t="s">
        <v>198</v>
      </c>
      <c r="O216" s="34" t="s">
        <v>423</v>
      </c>
      <c r="P216" t="s">
        <v>187</v>
      </c>
      <c r="Q216" t="s">
        <v>23</v>
      </c>
      <c r="R216" t="s">
        <v>23</v>
      </c>
      <c r="S216" t="s">
        <v>25</v>
      </c>
      <c r="T216" t="str">
        <f>_xlfn.XLOOKUP(Tabela14[[#This Row],[Categoria]],CATEGORIAS!$C:$C,CATEGORIAS!$D:$D,"")</f>
        <v>2.1 Despesas Diretas</v>
      </c>
    </row>
    <row r="217" spans="4:20" x14ac:dyDescent="0.25">
      <c r="D217" s="1">
        <v>46164</v>
      </c>
      <c r="E217" s="1">
        <v>46164</v>
      </c>
      <c r="F217" s="17">
        <v>46210</v>
      </c>
      <c r="G217" t="s">
        <v>184</v>
      </c>
      <c r="H217" t="s">
        <v>27</v>
      </c>
      <c r="I217" t="s">
        <v>91</v>
      </c>
      <c r="J217" s="30">
        <v>-10800.34</v>
      </c>
      <c r="K217" s="30">
        <v>0</v>
      </c>
      <c r="L217" s="33">
        <v>-11218.64</v>
      </c>
      <c r="M217" t="s">
        <v>185</v>
      </c>
      <c r="N217" t="s">
        <v>204</v>
      </c>
      <c r="O217" s="34" t="s">
        <v>424</v>
      </c>
      <c r="P217" t="s">
        <v>187</v>
      </c>
      <c r="Q217" t="s">
        <v>23</v>
      </c>
      <c r="R217" t="s">
        <v>23</v>
      </c>
      <c r="S217" t="s">
        <v>25</v>
      </c>
      <c r="T217" t="str">
        <f>_xlfn.XLOOKUP(Tabela14[[#This Row],[Categoria]],CATEGORIAS!$C:$C,CATEGORIAS!$D:$D,"")</f>
        <v>2.1 Despesas Diretas</v>
      </c>
    </row>
    <row r="218" spans="4:20" x14ac:dyDescent="0.25">
      <c r="D218" s="1">
        <v>46150</v>
      </c>
      <c r="E218" s="1">
        <v>46150</v>
      </c>
      <c r="F218" s="17">
        <v>46168</v>
      </c>
      <c r="G218" t="s">
        <v>184</v>
      </c>
      <c r="H218" t="s">
        <v>27</v>
      </c>
      <c r="I218" t="s">
        <v>105</v>
      </c>
      <c r="J218" s="30">
        <v>-24000</v>
      </c>
      <c r="K218" s="30">
        <v>0</v>
      </c>
      <c r="L218" s="33">
        <v>-24000</v>
      </c>
      <c r="M218" t="s">
        <v>185</v>
      </c>
      <c r="N218" t="s">
        <v>204</v>
      </c>
      <c r="O218" s="34" t="s">
        <v>425</v>
      </c>
      <c r="P218" t="s">
        <v>187</v>
      </c>
      <c r="Q218" t="s">
        <v>23</v>
      </c>
      <c r="R218" t="s">
        <v>23</v>
      </c>
      <c r="S218" t="s">
        <v>25</v>
      </c>
      <c r="T218" t="str">
        <f>_xlfn.XLOOKUP(Tabela14[[#This Row],[Categoria]],CATEGORIAS!$C:$C,CATEGORIAS!$D:$D,"")</f>
        <v>2.1 Despesas Diretas</v>
      </c>
    </row>
    <row r="219" spans="4:20" x14ac:dyDescent="0.25">
      <c r="D219" s="1">
        <v>46178</v>
      </c>
      <c r="E219" s="1">
        <v>46178</v>
      </c>
      <c r="F219" s="17">
        <v>46199</v>
      </c>
      <c r="G219" t="s">
        <v>184</v>
      </c>
      <c r="H219" t="s">
        <v>27</v>
      </c>
      <c r="I219" t="s">
        <v>105</v>
      </c>
      <c r="J219" s="30">
        <v>-24000</v>
      </c>
      <c r="K219" s="30">
        <v>0</v>
      </c>
      <c r="L219" s="33">
        <v>-24000</v>
      </c>
      <c r="M219" t="s">
        <v>185</v>
      </c>
      <c r="N219" t="s">
        <v>204</v>
      </c>
      <c r="O219" s="34" t="s">
        <v>425</v>
      </c>
      <c r="P219" t="s">
        <v>187</v>
      </c>
      <c r="Q219" t="s">
        <v>23</v>
      </c>
      <c r="R219" t="s">
        <v>23</v>
      </c>
      <c r="S219" t="s">
        <v>25</v>
      </c>
      <c r="T219" t="str">
        <f>_xlfn.XLOOKUP(Tabela14[[#This Row],[Categoria]],CATEGORIAS!$C:$C,CATEGORIAS!$D:$D,"")</f>
        <v>2.1 Despesas Diretas</v>
      </c>
    </row>
    <row r="220" spans="4:20" x14ac:dyDescent="0.25">
      <c r="D220" s="1">
        <v>46206</v>
      </c>
      <c r="E220" s="1">
        <v>46206</v>
      </c>
      <c r="F220" s="17">
        <v>46210</v>
      </c>
      <c r="G220" t="s">
        <v>184</v>
      </c>
      <c r="H220" t="s">
        <v>27</v>
      </c>
      <c r="I220" t="s">
        <v>91</v>
      </c>
      <c r="J220" s="30">
        <v>-25869.919999999998</v>
      </c>
      <c r="K220" s="30">
        <v>0</v>
      </c>
      <c r="L220" s="33">
        <v>-19040</v>
      </c>
      <c r="M220" t="s">
        <v>185</v>
      </c>
      <c r="N220" t="s">
        <v>198</v>
      </c>
      <c r="O220" s="34" t="s">
        <v>423</v>
      </c>
      <c r="P220" t="s">
        <v>187</v>
      </c>
      <c r="Q220" t="s">
        <v>23</v>
      </c>
      <c r="R220" t="s">
        <v>23</v>
      </c>
      <c r="S220" t="s">
        <v>25</v>
      </c>
      <c r="T220" t="str">
        <f>_xlfn.XLOOKUP(Tabela14[[#This Row],[Categoria]],CATEGORIAS!$C:$C,CATEGORIAS!$D:$D,"")</f>
        <v>2.1 Despesas Diretas</v>
      </c>
    </row>
    <row r="221" spans="4:20" x14ac:dyDescent="0.25">
      <c r="D221" s="1">
        <v>46178</v>
      </c>
      <c r="E221" s="1">
        <v>46178</v>
      </c>
      <c r="F221" s="17">
        <v>46224</v>
      </c>
      <c r="G221" t="s">
        <v>184</v>
      </c>
      <c r="H221" t="s">
        <v>27</v>
      </c>
      <c r="I221" t="s">
        <v>91</v>
      </c>
      <c r="J221" s="30">
        <v>-7131.85</v>
      </c>
      <c r="K221" s="30">
        <v>0</v>
      </c>
      <c r="L221" s="33">
        <v>-11218.64</v>
      </c>
      <c r="M221" t="s">
        <v>185</v>
      </c>
      <c r="N221" t="s">
        <v>204</v>
      </c>
      <c r="O221" s="34" t="s">
        <v>424</v>
      </c>
      <c r="P221" t="s">
        <v>187</v>
      </c>
      <c r="Q221" t="s">
        <v>23</v>
      </c>
      <c r="R221" t="s">
        <v>23</v>
      </c>
      <c r="S221" t="s">
        <v>25</v>
      </c>
      <c r="T221" t="str">
        <f>_xlfn.XLOOKUP(Tabela14[[#This Row],[Categoria]],CATEGORIAS!$C:$C,CATEGORIAS!$D:$D,"")</f>
        <v>2.1 Despesas Diretas</v>
      </c>
    </row>
    <row r="222" spans="4:20" x14ac:dyDescent="0.25">
      <c r="D222" s="1">
        <v>46192</v>
      </c>
      <c r="E222" s="1">
        <v>46192</v>
      </c>
      <c r="F222" s="17">
        <v>46224</v>
      </c>
      <c r="G222" t="s">
        <v>184</v>
      </c>
      <c r="H222" t="s">
        <v>27</v>
      </c>
      <c r="I222" t="s">
        <v>91</v>
      </c>
      <c r="J222" s="30">
        <v>-18330.080000000002</v>
      </c>
      <c r="K222" s="30">
        <v>0</v>
      </c>
      <c r="L222" s="33">
        <v>-19040</v>
      </c>
      <c r="M222" t="s">
        <v>185</v>
      </c>
      <c r="N222" t="s">
        <v>198</v>
      </c>
      <c r="O222" s="34" t="s">
        <v>423</v>
      </c>
      <c r="P222" t="s">
        <v>187</v>
      </c>
      <c r="Q222" t="s">
        <v>23</v>
      </c>
      <c r="R222" t="s">
        <v>23</v>
      </c>
      <c r="S222" t="s">
        <v>25</v>
      </c>
      <c r="T222" t="str">
        <f>_xlfn.XLOOKUP(Tabela14[[#This Row],[Categoria]],CATEGORIAS!$C:$C,CATEGORIAS!$D:$D,"")</f>
        <v>2.1 Despesas Diretas</v>
      </c>
    </row>
    <row r="223" spans="4:20" x14ac:dyDescent="0.25">
      <c r="D223" s="1">
        <v>46220</v>
      </c>
      <c r="E223" s="1">
        <v>46220</v>
      </c>
      <c r="F223" s="17">
        <v>46224</v>
      </c>
      <c r="G223" t="s">
        <v>184</v>
      </c>
      <c r="H223" t="s">
        <v>27</v>
      </c>
      <c r="I223" t="s">
        <v>91</v>
      </c>
      <c r="J223" s="30">
        <v>-25877.759999999998</v>
      </c>
      <c r="K223" s="30">
        <v>0</v>
      </c>
      <c r="L223" s="33">
        <v>-25877.759999999998</v>
      </c>
      <c r="M223" t="s">
        <v>185</v>
      </c>
      <c r="N223" t="s">
        <v>186</v>
      </c>
      <c r="O223" s="34" t="s">
        <v>426</v>
      </c>
      <c r="P223" t="s">
        <v>187</v>
      </c>
      <c r="Q223" t="s">
        <v>23</v>
      </c>
      <c r="R223" t="s">
        <v>23</v>
      </c>
      <c r="S223" t="s">
        <v>25</v>
      </c>
      <c r="T223" t="str">
        <f>_xlfn.XLOOKUP(Tabela14[[#This Row],[Categoria]],CATEGORIAS!$C:$C,CATEGORIAS!$D:$D,"")</f>
        <v>2.1 Despesas Diretas</v>
      </c>
    </row>
    <row r="224" spans="4:20" x14ac:dyDescent="0.25">
      <c r="D224" s="1">
        <v>46206</v>
      </c>
      <c r="E224" s="1">
        <v>46206</v>
      </c>
      <c r="F224" s="17">
        <v>46206</v>
      </c>
      <c r="G224" t="s">
        <v>184</v>
      </c>
      <c r="H224" t="s">
        <v>27</v>
      </c>
      <c r="I224" t="s">
        <v>106</v>
      </c>
      <c r="J224" s="30">
        <v>-5804.8</v>
      </c>
      <c r="K224" s="30">
        <v>0</v>
      </c>
      <c r="L224" s="33">
        <v>-5804.8</v>
      </c>
      <c r="M224" t="s">
        <v>185</v>
      </c>
      <c r="N224" t="s">
        <v>186</v>
      </c>
      <c r="O224" s="34" t="s">
        <v>427</v>
      </c>
      <c r="P224" t="s">
        <v>187</v>
      </c>
      <c r="Q224" t="s">
        <v>23</v>
      </c>
      <c r="R224" t="s">
        <v>23</v>
      </c>
      <c r="S224" t="s">
        <v>25</v>
      </c>
      <c r="T224" t="str">
        <f>_xlfn.XLOOKUP(Tabela14[[#This Row],[Categoria]],CATEGORIAS!$C:$C,CATEGORIAS!$D:$D,"")</f>
        <v>2.1 Despesas Diretas</v>
      </c>
    </row>
    <row r="225" spans="4:20" x14ac:dyDescent="0.25">
      <c r="D225" s="1">
        <v>46206</v>
      </c>
      <c r="E225" s="1">
        <v>46206</v>
      </c>
      <c r="F225" s="17">
        <v>46206</v>
      </c>
      <c r="G225" t="s">
        <v>184</v>
      </c>
      <c r="H225" t="s">
        <v>27</v>
      </c>
      <c r="I225" t="s">
        <v>106</v>
      </c>
      <c r="J225" s="30">
        <v>-5804.8</v>
      </c>
      <c r="K225" s="30">
        <v>0</v>
      </c>
      <c r="L225" s="33">
        <v>-5804.8</v>
      </c>
      <c r="M225" t="s">
        <v>185</v>
      </c>
      <c r="N225" t="s">
        <v>186</v>
      </c>
      <c r="O225" s="34" t="s">
        <v>428</v>
      </c>
      <c r="P225" t="s">
        <v>187</v>
      </c>
      <c r="Q225" t="s">
        <v>23</v>
      </c>
      <c r="R225" t="s">
        <v>23</v>
      </c>
      <c r="S225" t="s">
        <v>25</v>
      </c>
      <c r="T225" t="str">
        <f>_xlfn.XLOOKUP(Tabela14[[#This Row],[Categoria]],CATEGORIAS!$C:$C,CATEGORIAS!$D:$D,"")</f>
        <v>2.1 Despesas Diretas</v>
      </c>
    </row>
    <row r="226" spans="4:20" x14ac:dyDescent="0.25">
      <c r="D226" s="1">
        <v>46206</v>
      </c>
      <c r="E226" s="1">
        <v>46206</v>
      </c>
      <c r="F226" s="17">
        <v>46206</v>
      </c>
      <c r="G226" t="s">
        <v>184</v>
      </c>
      <c r="H226" t="s">
        <v>27</v>
      </c>
      <c r="I226" t="s">
        <v>106</v>
      </c>
      <c r="J226" s="30">
        <v>-1545.6</v>
      </c>
      <c r="K226" s="30">
        <v>0</v>
      </c>
      <c r="L226" s="33">
        <v>-1545.6</v>
      </c>
      <c r="M226" t="s">
        <v>185</v>
      </c>
      <c r="N226" t="s">
        <v>186</v>
      </c>
      <c r="O226" s="34" t="s">
        <v>429</v>
      </c>
      <c r="P226" t="s">
        <v>187</v>
      </c>
      <c r="Q226" t="s">
        <v>23</v>
      </c>
      <c r="R226" t="s">
        <v>23</v>
      </c>
      <c r="S226" t="s">
        <v>25</v>
      </c>
      <c r="T226" t="str">
        <f>_xlfn.XLOOKUP(Tabela14[[#This Row],[Categoria]],CATEGORIAS!$C:$C,CATEGORIAS!$D:$D,"")</f>
        <v>2.1 Despesas Diretas</v>
      </c>
    </row>
    <row r="227" spans="4:20" x14ac:dyDescent="0.25">
      <c r="D227" s="1">
        <v>46206</v>
      </c>
      <c r="E227" s="1">
        <v>46206</v>
      </c>
      <c r="F227" s="17">
        <v>46206</v>
      </c>
      <c r="G227" t="s">
        <v>184</v>
      </c>
      <c r="H227" t="s">
        <v>27</v>
      </c>
      <c r="I227" t="s">
        <v>106</v>
      </c>
      <c r="J227" s="30">
        <v>-1682.24</v>
      </c>
      <c r="K227" s="30">
        <v>0</v>
      </c>
      <c r="L227" s="33">
        <v>-1682.24</v>
      </c>
      <c r="M227" t="s">
        <v>185</v>
      </c>
      <c r="N227" t="s">
        <v>186</v>
      </c>
      <c r="O227" s="34" t="s">
        <v>430</v>
      </c>
      <c r="P227" t="s">
        <v>187</v>
      </c>
      <c r="Q227" t="s">
        <v>23</v>
      </c>
      <c r="R227" t="s">
        <v>23</v>
      </c>
      <c r="S227" t="s">
        <v>25</v>
      </c>
      <c r="T227" t="str">
        <f>_xlfn.XLOOKUP(Tabela14[[#This Row],[Categoria]],CATEGORIAS!$C:$C,CATEGORIAS!$D:$D,"")</f>
        <v>2.1 Despesas Diretas</v>
      </c>
    </row>
    <row r="228" spans="4:20" x14ac:dyDescent="0.25">
      <c r="D228" s="1">
        <v>46206</v>
      </c>
      <c r="E228" s="1">
        <v>46206</v>
      </c>
      <c r="F228" s="17">
        <v>46206</v>
      </c>
      <c r="G228" t="s">
        <v>184</v>
      </c>
      <c r="H228" t="s">
        <v>27</v>
      </c>
      <c r="I228" t="s">
        <v>106</v>
      </c>
      <c r="J228" s="30">
        <v>-7840</v>
      </c>
      <c r="K228" s="30">
        <v>0</v>
      </c>
      <c r="L228" s="33">
        <v>-7840</v>
      </c>
      <c r="M228" t="s">
        <v>185</v>
      </c>
      <c r="N228" t="s">
        <v>186</v>
      </c>
      <c r="O228" s="34" t="s">
        <v>431</v>
      </c>
      <c r="P228" t="s">
        <v>187</v>
      </c>
      <c r="Q228" t="s">
        <v>23</v>
      </c>
      <c r="R228" t="s">
        <v>23</v>
      </c>
      <c r="S228" t="s">
        <v>25</v>
      </c>
      <c r="T228" t="str">
        <f>_xlfn.XLOOKUP(Tabela14[[#This Row],[Categoria]],CATEGORIAS!$C:$C,CATEGORIAS!$D:$D,"")</f>
        <v>2.1 Despesas Diretas</v>
      </c>
    </row>
    <row r="229" spans="4:20" x14ac:dyDescent="0.25">
      <c r="D229" s="1">
        <v>46206</v>
      </c>
      <c r="E229" s="1">
        <v>46206</v>
      </c>
      <c r="F229" s="17">
        <v>46206</v>
      </c>
      <c r="G229" t="s">
        <v>184</v>
      </c>
      <c r="H229" t="s">
        <v>27</v>
      </c>
      <c r="I229" t="s">
        <v>106</v>
      </c>
      <c r="J229" s="30">
        <v>-1219.8399999999999</v>
      </c>
      <c r="K229" s="30">
        <v>0</v>
      </c>
      <c r="L229" s="33">
        <v>-1219.8399999999999</v>
      </c>
      <c r="M229" t="s">
        <v>185</v>
      </c>
      <c r="N229" t="s">
        <v>186</v>
      </c>
      <c r="O229" s="34" t="s">
        <v>432</v>
      </c>
      <c r="P229" t="s">
        <v>187</v>
      </c>
      <c r="Q229" t="s">
        <v>23</v>
      </c>
      <c r="R229" t="s">
        <v>23</v>
      </c>
      <c r="S229" t="s">
        <v>25</v>
      </c>
      <c r="T229" t="str">
        <f>_xlfn.XLOOKUP(Tabela14[[#This Row],[Categoria]],CATEGORIAS!$C:$C,CATEGORIAS!$D:$D,"")</f>
        <v>2.1 Despesas Diretas</v>
      </c>
    </row>
    <row r="230" spans="4:20" x14ac:dyDescent="0.25">
      <c r="D230" s="1">
        <v>46206</v>
      </c>
      <c r="E230" s="1">
        <v>46206</v>
      </c>
      <c r="F230" s="17">
        <v>46206</v>
      </c>
      <c r="G230" t="s">
        <v>184</v>
      </c>
      <c r="H230" t="s">
        <v>27</v>
      </c>
      <c r="I230" t="s">
        <v>106</v>
      </c>
      <c r="J230" s="30">
        <v>-540.79999999999995</v>
      </c>
      <c r="K230" s="30">
        <v>0</v>
      </c>
      <c r="L230" s="33">
        <v>-540.79999999999995</v>
      </c>
      <c r="M230" t="s">
        <v>185</v>
      </c>
      <c r="N230" t="s">
        <v>186</v>
      </c>
      <c r="O230" s="34" t="s">
        <v>433</v>
      </c>
      <c r="P230" t="s">
        <v>187</v>
      </c>
      <c r="Q230" t="s">
        <v>23</v>
      </c>
      <c r="R230" t="s">
        <v>23</v>
      </c>
      <c r="S230" t="s">
        <v>25</v>
      </c>
      <c r="T230" t="str">
        <f>_xlfn.XLOOKUP(Tabela14[[#This Row],[Categoria]],CATEGORIAS!$C:$C,CATEGORIAS!$D:$D,"")</f>
        <v>2.1 Despesas Diretas</v>
      </c>
    </row>
    <row r="231" spans="4:20" x14ac:dyDescent="0.25">
      <c r="D231" s="1">
        <v>46206</v>
      </c>
      <c r="E231" s="1">
        <v>46206</v>
      </c>
      <c r="F231" s="17">
        <v>46210</v>
      </c>
      <c r="G231" t="s">
        <v>184</v>
      </c>
      <c r="H231" t="s">
        <v>27</v>
      </c>
      <c r="I231" t="s">
        <v>91</v>
      </c>
      <c r="J231" s="30">
        <v>-7203.84</v>
      </c>
      <c r="K231" s="30">
        <v>0</v>
      </c>
      <c r="L231" s="33">
        <v>-7203.84</v>
      </c>
      <c r="M231" t="s">
        <v>185</v>
      </c>
      <c r="N231" t="s">
        <v>186</v>
      </c>
      <c r="O231" s="34" t="s">
        <v>426</v>
      </c>
      <c r="P231" t="s">
        <v>187</v>
      </c>
      <c r="Q231" t="s">
        <v>23</v>
      </c>
      <c r="R231" t="s">
        <v>23</v>
      </c>
      <c r="S231" t="s">
        <v>25</v>
      </c>
      <c r="T231" t="str">
        <f>_xlfn.XLOOKUP(Tabela14[[#This Row],[Categoria]],CATEGORIAS!$C:$C,CATEGORIAS!$D:$D,"")</f>
        <v>2.1 Despesas Diretas</v>
      </c>
    </row>
    <row r="232" spans="4:20" x14ac:dyDescent="0.25">
      <c r="D232" s="1">
        <v>46206</v>
      </c>
      <c r="E232" s="1">
        <v>46206</v>
      </c>
      <c r="F232" s="17">
        <v>46206</v>
      </c>
      <c r="G232" t="s">
        <v>184</v>
      </c>
      <c r="H232" t="s">
        <v>27</v>
      </c>
      <c r="I232" t="s">
        <v>106</v>
      </c>
      <c r="J232" s="30">
        <v>-5104</v>
      </c>
      <c r="K232" s="30">
        <v>0</v>
      </c>
      <c r="L232" s="33">
        <v>-5104</v>
      </c>
      <c r="M232" t="s">
        <v>185</v>
      </c>
      <c r="N232" t="s">
        <v>186</v>
      </c>
      <c r="O232" s="34" t="s">
        <v>434</v>
      </c>
      <c r="P232" t="s">
        <v>187</v>
      </c>
      <c r="Q232" t="s">
        <v>23</v>
      </c>
      <c r="R232" t="s">
        <v>23</v>
      </c>
      <c r="S232" t="s">
        <v>25</v>
      </c>
      <c r="T232" t="str">
        <f>_xlfn.XLOOKUP(Tabela14[[#This Row],[Categoria]],CATEGORIAS!$C:$C,CATEGORIAS!$D:$D,"")</f>
        <v>2.1 Despesas Diretas</v>
      </c>
    </row>
    <row r="233" spans="4:20" x14ac:dyDescent="0.25">
      <c r="D233" s="1">
        <v>46206</v>
      </c>
      <c r="E233" s="1">
        <v>46206</v>
      </c>
      <c r="F233" s="17">
        <v>46206</v>
      </c>
      <c r="G233" t="s">
        <v>184</v>
      </c>
      <c r="H233" t="s">
        <v>27</v>
      </c>
      <c r="I233" t="s">
        <v>106</v>
      </c>
      <c r="J233" s="30">
        <v>-4160</v>
      </c>
      <c r="K233" s="30">
        <v>0</v>
      </c>
      <c r="L233" s="33">
        <v>-4160</v>
      </c>
      <c r="M233" t="s">
        <v>185</v>
      </c>
      <c r="N233" t="s">
        <v>186</v>
      </c>
      <c r="O233" s="34" t="s">
        <v>435</v>
      </c>
      <c r="P233" t="s">
        <v>187</v>
      </c>
      <c r="Q233" t="s">
        <v>23</v>
      </c>
      <c r="R233" t="s">
        <v>23</v>
      </c>
      <c r="S233" t="s">
        <v>25</v>
      </c>
      <c r="T233" t="str">
        <f>_xlfn.XLOOKUP(Tabela14[[#This Row],[Categoria]],CATEGORIAS!$C:$C,CATEGORIAS!$D:$D,"")</f>
        <v>2.1 Despesas Diretas</v>
      </c>
    </row>
    <row r="234" spans="4:20" x14ac:dyDescent="0.25">
      <c r="D234" s="1">
        <v>46206</v>
      </c>
      <c r="E234" s="1">
        <v>46206</v>
      </c>
      <c r="F234" s="17">
        <v>46206</v>
      </c>
      <c r="G234" t="s">
        <v>184</v>
      </c>
      <c r="H234" t="s">
        <v>27</v>
      </c>
      <c r="I234" t="s">
        <v>106</v>
      </c>
      <c r="J234" s="30">
        <v>-1276.8</v>
      </c>
      <c r="K234" s="30">
        <v>0</v>
      </c>
      <c r="L234" s="33">
        <v>-1276.8</v>
      </c>
      <c r="M234" t="s">
        <v>185</v>
      </c>
      <c r="N234" t="s">
        <v>186</v>
      </c>
      <c r="O234" s="34" t="s">
        <v>436</v>
      </c>
      <c r="P234" t="s">
        <v>187</v>
      </c>
      <c r="Q234" t="s">
        <v>23</v>
      </c>
      <c r="R234" t="s">
        <v>23</v>
      </c>
      <c r="S234" t="s">
        <v>25</v>
      </c>
      <c r="T234" t="str">
        <f>_xlfn.XLOOKUP(Tabela14[[#This Row],[Categoria]],CATEGORIAS!$C:$C,CATEGORIAS!$D:$D,"")</f>
        <v>2.1 Despesas Diretas</v>
      </c>
    </row>
    <row r="235" spans="4:20" x14ac:dyDescent="0.25">
      <c r="D235" s="1">
        <v>46206</v>
      </c>
      <c r="E235" s="1">
        <v>46206</v>
      </c>
      <c r="F235" s="17">
        <v>46206</v>
      </c>
      <c r="G235" t="s">
        <v>184</v>
      </c>
      <c r="H235" t="s">
        <v>27</v>
      </c>
      <c r="I235" t="s">
        <v>106</v>
      </c>
      <c r="J235" s="30">
        <v>-444.16</v>
      </c>
      <c r="K235" s="30">
        <v>0</v>
      </c>
      <c r="L235" s="33">
        <v>-444.16</v>
      </c>
      <c r="M235" t="s">
        <v>185</v>
      </c>
      <c r="N235" t="s">
        <v>186</v>
      </c>
      <c r="O235" s="34" t="s">
        <v>437</v>
      </c>
      <c r="P235" t="s">
        <v>187</v>
      </c>
      <c r="Q235" t="s">
        <v>23</v>
      </c>
      <c r="R235" t="s">
        <v>23</v>
      </c>
      <c r="S235" t="s">
        <v>25</v>
      </c>
      <c r="T235" t="str">
        <f>_xlfn.XLOOKUP(Tabela14[[#This Row],[Categoria]],CATEGORIAS!$C:$C,CATEGORIAS!$D:$D,"")</f>
        <v>2.1 Despesas Diretas</v>
      </c>
    </row>
    <row r="236" spans="4:20" x14ac:dyDescent="0.25">
      <c r="D236" s="1">
        <v>46206</v>
      </c>
      <c r="E236" s="1">
        <v>46206</v>
      </c>
      <c r="F236" s="17">
        <v>46206</v>
      </c>
      <c r="G236" t="s">
        <v>184</v>
      </c>
      <c r="H236" t="s">
        <v>27</v>
      </c>
      <c r="I236" t="s">
        <v>106</v>
      </c>
      <c r="J236" s="30">
        <v>-482.24</v>
      </c>
      <c r="K236" s="30">
        <v>0</v>
      </c>
      <c r="L236" s="33">
        <v>-482.24</v>
      </c>
      <c r="M236" t="s">
        <v>185</v>
      </c>
      <c r="N236" t="s">
        <v>186</v>
      </c>
      <c r="O236" s="34" t="s">
        <v>438</v>
      </c>
      <c r="P236" t="s">
        <v>187</v>
      </c>
      <c r="Q236" t="s">
        <v>23</v>
      </c>
      <c r="R236" t="s">
        <v>23</v>
      </c>
      <c r="S236" t="s">
        <v>25</v>
      </c>
      <c r="T236" t="str">
        <f>_xlfn.XLOOKUP(Tabela14[[#This Row],[Categoria]],CATEGORIAS!$C:$C,CATEGORIAS!$D:$D,"")</f>
        <v>2.1 Despesas Diretas</v>
      </c>
    </row>
    <row r="237" spans="4:20" x14ac:dyDescent="0.25">
      <c r="D237" s="1">
        <v>46206</v>
      </c>
      <c r="E237" s="1">
        <v>46206</v>
      </c>
      <c r="F237" s="17">
        <v>46206</v>
      </c>
      <c r="G237" t="s">
        <v>184</v>
      </c>
      <c r="H237" t="s">
        <v>27</v>
      </c>
      <c r="I237" t="s">
        <v>106</v>
      </c>
      <c r="J237" s="30">
        <v>-5804.8</v>
      </c>
      <c r="K237" s="30">
        <v>0</v>
      </c>
      <c r="L237" s="33">
        <v>-5804.8</v>
      </c>
      <c r="M237" t="s">
        <v>185</v>
      </c>
      <c r="N237" t="s">
        <v>186</v>
      </c>
      <c r="O237" s="34" t="s">
        <v>439</v>
      </c>
      <c r="P237" t="s">
        <v>187</v>
      </c>
      <c r="Q237" t="s">
        <v>23</v>
      </c>
      <c r="R237" t="s">
        <v>23</v>
      </c>
      <c r="S237" t="s">
        <v>25</v>
      </c>
      <c r="T237" t="str">
        <f>_xlfn.XLOOKUP(Tabela14[[#This Row],[Categoria]],CATEGORIAS!$C:$C,CATEGORIAS!$D:$D,"")</f>
        <v>2.1 Despesas Diretas</v>
      </c>
    </row>
    <row r="238" spans="4:20" x14ac:dyDescent="0.25">
      <c r="D238" s="1">
        <v>46206</v>
      </c>
      <c r="E238" s="1">
        <v>46206</v>
      </c>
      <c r="F238" s="17">
        <v>46206</v>
      </c>
      <c r="G238" t="s">
        <v>184</v>
      </c>
      <c r="H238" t="s">
        <v>27</v>
      </c>
      <c r="I238" t="s">
        <v>106</v>
      </c>
      <c r="J238" s="30">
        <v>-161.6</v>
      </c>
      <c r="K238" s="30">
        <v>0</v>
      </c>
      <c r="L238" s="33">
        <v>-161.6</v>
      </c>
      <c r="M238" t="s">
        <v>185</v>
      </c>
      <c r="N238" t="s">
        <v>186</v>
      </c>
      <c r="O238" s="34" t="s">
        <v>440</v>
      </c>
      <c r="P238" t="s">
        <v>187</v>
      </c>
      <c r="Q238" t="s">
        <v>23</v>
      </c>
      <c r="R238" t="s">
        <v>23</v>
      </c>
      <c r="S238" t="s">
        <v>25</v>
      </c>
      <c r="T238" t="str">
        <f>_xlfn.XLOOKUP(Tabela14[[#This Row],[Categoria]],CATEGORIAS!$C:$C,CATEGORIAS!$D:$D,"")</f>
        <v>2.1 Despesas Diretas</v>
      </c>
    </row>
    <row r="239" spans="4:20" x14ac:dyDescent="0.25">
      <c r="D239" s="1">
        <v>46206</v>
      </c>
      <c r="E239" s="1">
        <v>46206</v>
      </c>
      <c r="F239" s="17">
        <v>46206</v>
      </c>
      <c r="G239" t="s">
        <v>184</v>
      </c>
      <c r="H239" t="s">
        <v>27</v>
      </c>
      <c r="I239" t="s">
        <v>106</v>
      </c>
      <c r="J239" s="30">
        <v>-668.8</v>
      </c>
      <c r="K239" s="30">
        <v>0</v>
      </c>
      <c r="L239" s="33">
        <v>-668.8</v>
      </c>
      <c r="M239" t="s">
        <v>185</v>
      </c>
      <c r="N239" t="s">
        <v>186</v>
      </c>
      <c r="O239" s="34" t="s">
        <v>441</v>
      </c>
      <c r="P239" t="s">
        <v>187</v>
      </c>
      <c r="Q239" t="s">
        <v>23</v>
      </c>
      <c r="R239" t="s">
        <v>23</v>
      </c>
      <c r="S239" t="s">
        <v>25</v>
      </c>
      <c r="T239" t="str">
        <f>_xlfn.XLOOKUP(Tabela14[[#This Row],[Categoria]],CATEGORIAS!$C:$C,CATEGORIAS!$D:$D,"")</f>
        <v>2.1 Despesas Diretas</v>
      </c>
    </row>
    <row r="240" spans="4:20" x14ac:dyDescent="0.25">
      <c r="D240" s="1">
        <v>46206</v>
      </c>
      <c r="E240" s="1">
        <v>46206</v>
      </c>
      <c r="F240" s="17">
        <v>46206</v>
      </c>
      <c r="G240" t="s">
        <v>184</v>
      </c>
      <c r="H240" t="s">
        <v>27</v>
      </c>
      <c r="I240" t="s">
        <v>106</v>
      </c>
      <c r="J240" s="30">
        <v>-7840</v>
      </c>
      <c r="K240" s="30">
        <v>0</v>
      </c>
      <c r="L240" s="33">
        <v>-7840</v>
      </c>
      <c r="M240" t="s">
        <v>185</v>
      </c>
      <c r="N240" t="s">
        <v>186</v>
      </c>
      <c r="O240" s="34" t="s">
        <v>442</v>
      </c>
      <c r="P240" t="s">
        <v>187</v>
      </c>
      <c r="Q240" t="s">
        <v>23</v>
      </c>
      <c r="R240" t="s">
        <v>23</v>
      </c>
      <c r="S240" t="s">
        <v>25</v>
      </c>
      <c r="T240" t="str">
        <f>_xlfn.XLOOKUP(Tabela14[[#This Row],[Categoria]],CATEGORIAS!$C:$C,CATEGORIAS!$D:$D,"")</f>
        <v>2.1 Despesas Diretas</v>
      </c>
    </row>
    <row r="241" spans="4:20" x14ac:dyDescent="0.25">
      <c r="D241" s="1">
        <v>46206</v>
      </c>
      <c r="E241" s="1">
        <v>46206</v>
      </c>
      <c r="F241" s="17">
        <v>46206</v>
      </c>
      <c r="G241" t="s">
        <v>184</v>
      </c>
      <c r="H241" t="s">
        <v>27</v>
      </c>
      <c r="I241" t="s">
        <v>106</v>
      </c>
      <c r="J241" s="30">
        <v>-3782.4</v>
      </c>
      <c r="K241" s="30">
        <v>0</v>
      </c>
      <c r="L241" s="33">
        <v>-3782.4</v>
      </c>
      <c r="M241" t="s">
        <v>185</v>
      </c>
      <c r="N241" t="s">
        <v>186</v>
      </c>
      <c r="O241" s="34" t="s">
        <v>443</v>
      </c>
      <c r="P241" t="s">
        <v>187</v>
      </c>
      <c r="Q241" t="s">
        <v>23</v>
      </c>
      <c r="R241" t="s">
        <v>23</v>
      </c>
      <c r="S241" t="s">
        <v>25</v>
      </c>
      <c r="T241" t="str">
        <f>_xlfn.XLOOKUP(Tabela14[[#This Row],[Categoria]],CATEGORIAS!$C:$C,CATEGORIAS!$D:$D,"")</f>
        <v>2.1 Despesas Diretas</v>
      </c>
    </row>
    <row r="242" spans="4:20" x14ac:dyDescent="0.25">
      <c r="D242" s="1">
        <v>46206</v>
      </c>
      <c r="E242" s="1">
        <v>46206</v>
      </c>
      <c r="F242" s="17">
        <v>46206</v>
      </c>
      <c r="G242" t="s">
        <v>184</v>
      </c>
      <c r="H242" t="s">
        <v>27</v>
      </c>
      <c r="I242" t="s">
        <v>106</v>
      </c>
      <c r="J242" s="30">
        <v>-552</v>
      </c>
      <c r="K242" s="30">
        <v>0</v>
      </c>
      <c r="L242" s="33">
        <v>-552</v>
      </c>
      <c r="M242" t="s">
        <v>185</v>
      </c>
      <c r="N242" t="s">
        <v>186</v>
      </c>
      <c r="O242" s="34" t="s">
        <v>444</v>
      </c>
      <c r="P242" t="s">
        <v>187</v>
      </c>
      <c r="Q242" t="s">
        <v>23</v>
      </c>
      <c r="R242" t="s">
        <v>23</v>
      </c>
      <c r="S242" t="s">
        <v>25</v>
      </c>
      <c r="T242" t="str">
        <f>_xlfn.XLOOKUP(Tabela14[[#This Row],[Categoria]],CATEGORIAS!$C:$C,CATEGORIAS!$D:$D,"")</f>
        <v>2.1 Despesas Diretas</v>
      </c>
    </row>
    <row r="243" spans="4:20" x14ac:dyDescent="0.25">
      <c r="D243" s="1">
        <v>46206</v>
      </c>
      <c r="E243" s="1">
        <v>46206</v>
      </c>
      <c r="F243" s="17">
        <v>46206</v>
      </c>
      <c r="G243" t="s">
        <v>184</v>
      </c>
      <c r="H243" t="s">
        <v>27</v>
      </c>
      <c r="I243" t="s">
        <v>106</v>
      </c>
      <c r="J243" s="30">
        <v>-255.36</v>
      </c>
      <c r="K243" s="30">
        <v>0</v>
      </c>
      <c r="L243" s="33">
        <v>-255.36</v>
      </c>
      <c r="M243" t="s">
        <v>185</v>
      </c>
      <c r="N243" t="s">
        <v>186</v>
      </c>
      <c r="O243" s="34" t="s">
        <v>445</v>
      </c>
      <c r="P243" t="s">
        <v>187</v>
      </c>
      <c r="Q243" t="s">
        <v>23</v>
      </c>
      <c r="R243" t="s">
        <v>23</v>
      </c>
      <c r="S243" t="s">
        <v>25</v>
      </c>
      <c r="T243" t="str">
        <f>_xlfn.XLOOKUP(Tabela14[[#This Row],[Categoria]],CATEGORIAS!$C:$C,CATEGORIAS!$D:$D,"")</f>
        <v>2.1 Despesas Diretas</v>
      </c>
    </row>
    <row r="244" spans="4:20" x14ac:dyDescent="0.25">
      <c r="D244" s="1">
        <v>46206</v>
      </c>
      <c r="E244" s="1">
        <v>46206</v>
      </c>
      <c r="F244" s="17">
        <v>46206</v>
      </c>
      <c r="G244" t="s">
        <v>184</v>
      </c>
      <c r="H244" t="s">
        <v>27</v>
      </c>
      <c r="I244" t="s">
        <v>106</v>
      </c>
      <c r="J244" s="30">
        <v>-255.36</v>
      </c>
      <c r="K244" s="30">
        <v>0</v>
      </c>
      <c r="L244" s="33">
        <v>-255.36</v>
      </c>
      <c r="M244" t="s">
        <v>185</v>
      </c>
      <c r="N244" t="s">
        <v>186</v>
      </c>
      <c r="O244" s="34" t="s">
        <v>446</v>
      </c>
      <c r="P244" t="s">
        <v>187</v>
      </c>
      <c r="Q244" t="s">
        <v>23</v>
      </c>
      <c r="R244" t="s">
        <v>23</v>
      </c>
      <c r="S244" t="s">
        <v>25</v>
      </c>
      <c r="T244" t="str">
        <f>_xlfn.XLOOKUP(Tabela14[[#This Row],[Categoria]],CATEGORIAS!$C:$C,CATEGORIAS!$D:$D,"")</f>
        <v>2.1 Despesas Diretas</v>
      </c>
    </row>
    <row r="245" spans="4:20" x14ac:dyDescent="0.25">
      <c r="D245" s="1">
        <v>46206</v>
      </c>
      <c r="E245" s="1">
        <v>46206</v>
      </c>
      <c r="F245" s="17">
        <v>46206</v>
      </c>
      <c r="G245" t="s">
        <v>184</v>
      </c>
      <c r="H245" t="s">
        <v>27</v>
      </c>
      <c r="I245" t="s">
        <v>106</v>
      </c>
      <c r="J245" s="30">
        <v>-415.68</v>
      </c>
      <c r="K245" s="30">
        <v>0</v>
      </c>
      <c r="L245" s="33">
        <v>-415.68</v>
      </c>
      <c r="M245" t="s">
        <v>185</v>
      </c>
      <c r="N245" t="s">
        <v>186</v>
      </c>
      <c r="O245" s="34" t="s">
        <v>447</v>
      </c>
      <c r="P245" t="s">
        <v>187</v>
      </c>
      <c r="Q245" t="s">
        <v>23</v>
      </c>
      <c r="R245" t="s">
        <v>23</v>
      </c>
      <c r="S245" t="s">
        <v>25</v>
      </c>
      <c r="T245" t="str">
        <f>_xlfn.XLOOKUP(Tabela14[[#This Row],[Categoria]],CATEGORIAS!$C:$C,CATEGORIAS!$D:$D,"")</f>
        <v>2.1 Despesas Diretas</v>
      </c>
    </row>
    <row r="246" spans="4:20" x14ac:dyDescent="0.25">
      <c r="D246" s="1">
        <v>46206</v>
      </c>
      <c r="E246" s="1">
        <v>46206</v>
      </c>
      <c r="F246" s="17">
        <v>46206</v>
      </c>
      <c r="G246" t="s">
        <v>184</v>
      </c>
      <c r="H246" t="s">
        <v>27</v>
      </c>
      <c r="I246" t="s">
        <v>106</v>
      </c>
      <c r="J246" s="30">
        <v>-7840</v>
      </c>
      <c r="K246" s="30">
        <v>0</v>
      </c>
      <c r="L246" s="33">
        <v>-7840</v>
      </c>
      <c r="M246" t="s">
        <v>185</v>
      </c>
      <c r="N246" t="s">
        <v>186</v>
      </c>
      <c r="O246" s="34" t="s">
        <v>448</v>
      </c>
      <c r="P246" t="s">
        <v>187</v>
      </c>
      <c r="Q246" t="s">
        <v>23</v>
      </c>
      <c r="R246" t="s">
        <v>23</v>
      </c>
      <c r="S246" t="s">
        <v>25</v>
      </c>
      <c r="T246" t="str">
        <f>_xlfn.XLOOKUP(Tabela14[[#This Row],[Categoria]],CATEGORIAS!$C:$C,CATEGORIAS!$D:$D,"")</f>
        <v>2.1 Despesas Diretas</v>
      </c>
    </row>
    <row r="247" spans="4:20" x14ac:dyDescent="0.25">
      <c r="D247" s="1">
        <v>46206</v>
      </c>
      <c r="E247" s="1">
        <v>46206</v>
      </c>
      <c r="F247" s="17">
        <v>46206</v>
      </c>
      <c r="G247" t="s">
        <v>184</v>
      </c>
      <c r="H247" t="s">
        <v>27</v>
      </c>
      <c r="I247" t="s">
        <v>106</v>
      </c>
      <c r="J247" s="30">
        <v>-444.16</v>
      </c>
      <c r="K247" s="30">
        <v>0</v>
      </c>
      <c r="L247" s="33">
        <v>-444.16</v>
      </c>
      <c r="M247" t="s">
        <v>185</v>
      </c>
      <c r="N247" t="s">
        <v>186</v>
      </c>
      <c r="O247" s="34" t="s">
        <v>449</v>
      </c>
      <c r="P247" t="s">
        <v>187</v>
      </c>
      <c r="Q247" t="s">
        <v>23</v>
      </c>
      <c r="R247" t="s">
        <v>23</v>
      </c>
      <c r="S247" t="s">
        <v>25</v>
      </c>
      <c r="T247" t="str">
        <f>_xlfn.XLOOKUP(Tabela14[[#This Row],[Categoria]],CATEGORIAS!$C:$C,CATEGORIAS!$D:$D,"")</f>
        <v>2.1 Despesas Diretas</v>
      </c>
    </row>
    <row r="248" spans="4:20" x14ac:dyDescent="0.25">
      <c r="D248" s="1">
        <v>46206</v>
      </c>
      <c r="E248" s="1">
        <v>46206</v>
      </c>
      <c r="F248" s="17">
        <v>46206</v>
      </c>
      <c r="G248" t="s">
        <v>184</v>
      </c>
      <c r="H248" t="s">
        <v>27</v>
      </c>
      <c r="I248" t="s">
        <v>106</v>
      </c>
      <c r="J248" s="30">
        <v>-444.16</v>
      </c>
      <c r="K248" s="30">
        <v>0</v>
      </c>
      <c r="L248" s="33">
        <v>-444.16</v>
      </c>
      <c r="M248" t="s">
        <v>185</v>
      </c>
      <c r="N248" t="s">
        <v>186</v>
      </c>
      <c r="O248" s="34" t="s">
        <v>450</v>
      </c>
      <c r="P248" t="s">
        <v>187</v>
      </c>
      <c r="Q248" t="s">
        <v>23</v>
      </c>
      <c r="R248" t="s">
        <v>23</v>
      </c>
      <c r="S248" t="s">
        <v>25</v>
      </c>
      <c r="T248" t="str">
        <f>_xlfn.XLOOKUP(Tabela14[[#This Row],[Categoria]],CATEGORIAS!$C:$C,CATEGORIAS!$D:$D,"")</f>
        <v>2.1 Despesas Diretas</v>
      </c>
    </row>
    <row r="249" spans="4:20" x14ac:dyDescent="0.25">
      <c r="D249" s="1">
        <v>46206</v>
      </c>
      <c r="E249" s="1">
        <v>46206</v>
      </c>
      <c r="F249" s="17">
        <v>46206</v>
      </c>
      <c r="G249" t="s">
        <v>184</v>
      </c>
      <c r="H249" t="s">
        <v>27</v>
      </c>
      <c r="I249" t="s">
        <v>106</v>
      </c>
      <c r="J249" s="30">
        <v>-621.44000000000005</v>
      </c>
      <c r="K249" s="30">
        <v>0</v>
      </c>
      <c r="L249" s="33">
        <v>-621.44000000000005</v>
      </c>
      <c r="M249" t="s">
        <v>185</v>
      </c>
      <c r="N249" t="s">
        <v>186</v>
      </c>
      <c r="O249" s="34" t="s">
        <v>451</v>
      </c>
      <c r="P249" t="s">
        <v>187</v>
      </c>
      <c r="Q249" t="s">
        <v>23</v>
      </c>
      <c r="R249" t="s">
        <v>23</v>
      </c>
      <c r="S249" t="s">
        <v>25</v>
      </c>
      <c r="T249" t="str">
        <f>_xlfn.XLOOKUP(Tabela14[[#This Row],[Categoria]],CATEGORIAS!$C:$C,CATEGORIAS!$D:$D,"")</f>
        <v>2.1 Despesas Diretas</v>
      </c>
    </row>
    <row r="250" spans="4:20" x14ac:dyDescent="0.25">
      <c r="D250" s="1">
        <v>46206</v>
      </c>
      <c r="E250" s="1">
        <v>46206</v>
      </c>
      <c r="F250" s="17">
        <v>46206</v>
      </c>
      <c r="G250" t="s">
        <v>184</v>
      </c>
      <c r="H250" t="s">
        <v>27</v>
      </c>
      <c r="I250" t="s">
        <v>106</v>
      </c>
      <c r="J250" s="30">
        <v>-1200</v>
      </c>
      <c r="K250" s="30">
        <v>0</v>
      </c>
      <c r="L250" s="33">
        <v>-1200</v>
      </c>
      <c r="M250" t="s">
        <v>185</v>
      </c>
      <c r="N250" t="s">
        <v>186</v>
      </c>
      <c r="O250" s="34" t="s">
        <v>452</v>
      </c>
      <c r="P250" t="s">
        <v>187</v>
      </c>
      <c r="Q250" t="s">
        <v>23</v>
      </c>
      <c r="R250" t="s">
        <v>23</v>
      </c>
      <c r="S250" t="s">
        <v>25</v>
      </c>
      <c r="T250" t="str">
        <f>_xlfn.XLOOKUP(Tabela14[[#This Row],[Categoria]],CATEGORIAS!$C:$C,CATEGORIAS!$D:$D,"")</f>
        <v>2.1 Despesas Diretas</v>
      </c>
    </row>
    <row r="251" spans="4:20" x14ac:dyDescent="0.25">
      <c r="D251" s="1">
        <v>46206</v>
      </c>
      <c r="E251" s="1">
        <v>46206</v>
      </c>
      <c r="F251" s="17">
        <v>46206</v>
      </c>
      <c r="G251" t="s">
        <v>184</v>
      </c>
      <c r="H251" t="s">
        <v>27</v>
      </c>
      <c r="I251" t="s">
        <v>106</v>
      </c>
      <c r="J251" s="30">
        <v>-181.44</v>
      </c>
      <c r="K251" s="30">
        <v>0</v>
      </c>
      <c r="L251" s="33">
        <v>-181.44</v>
      </c>
      <c r="M251" t="s">
        <v>185</v>
      </c>
      <c r="N251" t="s">
        <v>186</v>
      </c>
      <c r="O251" s="34" t="s">
        <v>453</v>
      </c>
      <c r="P251" t="s">
        <v>187</v>
      </c>
      <c r="Q251" t="s">
        <v>23</v>
      </c>
      <c r="R251" t="s">
        <v>23</v>
      </c>
      <c r="S251" t="s">
        <v>25</v>
      </c>
      <c r="T251" t="str">
        <f>_xlfn.XLOOKUP(Tabela14[[#This Row],[Categoria]],CATEGORIAS!$C:$C,CATEGORIAS!$D:$D,"")</f>
        <v>2.1 Despesas Diretas</v>
      </c>
    </row>
    <row r="252" spans="4:20" x14ac:dyDescent="0.25">
      <c r="D252" s="1">
        <v>46192</v>
      </c>
      <c r="E252" s="1">
        <v>46192</v>
      </c>
      <c r="F252" s="17">
        <v>46196</v>
      </c>
      <c r="G252" t="s">
        <v>184</v>
      </c>
      <c r="H252" t="s">
        <v>27</v>
      </c>
      <c r="I252" t="s">
        <v>91</v>
      </c>
      <c r="J252" s="30">
        <v>-7196.16</v>
      </c>
      <c r="K252" s="30">
        <v>0</v>
      </c>
      <c r="L252" s="33">
        <v>-7196.16</v>
      </c>
      <c r="M252" t="s">
        <v>185</v>
      </c>
      <c r="N252" t="s">
        <v>186</v>
      </c>
      <c r="O252" s="34" t="s">
        <v>426</v>
      </c>
      <c r="P252" t="s">
        <v>187</v>
      </c>
      <c r="Q252" t="s">
        <v>23</v>
      </c>
      <c r="R252" t="s">
        <v>23</v>
      </c>
      <c r="S252" t="s">
        <v>25</v>
      </c>
      <c r="T252" t="str">
        <f>_xlfn.XLOOKUP(Tabela14[[#This Row],[Categoria]],CATEGORIAS!$C:$C,CATEGORIAS!$D:$D,"")</f>
        <v>2.1 Despesas Diretas</v>
      </c>
    </row>
    <row r="253" spans="4:20" x14ac:dyDescent="0.25">
      <c r="D253" s="1">
        <v>46206</v>
      </c>
      <c r="E253" s="1">
        <v>46206</v>
      </c>
      <c r="F253" s="17">
        <v>46206</v>
      </c>
      <c r="G253" t="s">
        <v>184</v>
      </c>
      <c r="H253" t="s">
        <v>27</v>
      </c>
      <c r="I253" t="s">
        <v>106</v>
      </c>
      <c r="J253" s="30">
        <v>-5601.63</v>
      </c>
      <c r="K253" s="30">
        <v>0</v>
      </c>
      <c r="L253" s="33">
        <v>-5601.63</v>
      </c>
      <c r="M253" t="s">
        <v>185</v>
      </c>
      <c r="N253" t="s">
        <v>186</v>
      </c>
      <c r="O253" s="34" t="s">
        <v>454</v>
      </c>
      <c r="P253" t="s">
        <v>187</v>
      </c>
      <c r="Q253" t="s">
        <v>23</v>
      </c>
      <c r="R253" t="s">
        <v>23</v>
      </c>
      <c r="S253" t="s">
        <v>25</v>
      </c>
      <c r="T253" t="str">
        <f>_xlfn.XLOOKUP(Tabela14[[#This Row],[Categoria]],CATEGORIAS!$C:$C,CATEGORIAS!$D:$D,"")</f>
        <v>2.1 Despesas Diretas</v>
      </c>
    </row>
    <row r="254" spans="4:20" x14ac:dyDescent="0.25">
      <c r="D254" s="1">
        <v>46206</v>
      </c>
      <c r="E254" s="1">
        <v>46206</v>
      </c>
      <c r="F254" s="17">
        <v>46206</v>
      </c>
      <c r="G254" t="s">
        <v>184</v>
      </c>
      <c r="H254" t="s">
        <v>27</v>
      </c>
      <c r="I254" t="s">
        <v>106</v>
      </c>
      <c r="J254" s="30">
        <v>-1097.5999999999999</v>
      </c>
      <c r="K254" s="30">
        <v>0</v>
      </c>
      <c r="L254" s="33">
        <v>-1097.5999999999999</v>
      </c>
      <c r="M254" t="s">
        <v>185</v>
      </c>
      <c r="N254" t="s">
        <v>186</v>
      </c>
      <c r="O254" s="34" t="s">
        <v>455</v>
      </c>
      <c r="P254" t="s">
        <v>187</v>
      </c>
      <c r="Q254" t="s">
        <v>23</v>
      </c>
      <c r="R254" t="s">
        <v>23</v>
      </c>
      <c r="S254" t="s">
        <v>25</v>
      </c>
      <c r="T254" t="str">
        <f>_xlfn.XLOOKUP(Tabela14[[#This Row],[Categoria]],CATEGORIAS!$C:$C,CATEGORIAS!$D:$D,"")</f>
        <v>2.1 Despesas Diretas</v>
      </c>
    </row>
    <row r="255" spans="4:20" x14ac:dyDescent="0.25">
      <c r="D255" s="1">
        <v>46206</v>
      </c>
      <c r="E255" s="1">
        <v>46206</v>
      </c>
      <c r="F255" s="17">
        <v>46206</v>
      </c>
      <c r="G255" t="s">
        <v>184</v>
      </c>
      <c r="H255" t="s">
        <v>27</v>
      </c>
      <c r="I255" t="s">
        <v>106</v>
      </c>
      <c r="J255" s="31">
        <v>-1429.76</v>
      </c>
      <c r="K255" s="31">
        <v>0</v>
      </c>
      <c r="L255" s="33">
        <v>-1429.76</v>
      </c>
      <c r="M255" t="s">
        <v>185</v>
      </c>
      <c r="N255" t="s">
        <v>186</v>
      </c>
      <c r="O255" s="34" t="s">
        <v>456</v>
      </c>
      <c r="P255" t="s">
        <v>187</v>
      </c>
      <c r="Q255" t="s">
        <v>23</v>
      </c>
      <c r="R255" t="s">
        <v>23</v>
      </c>
      <c r="S255" t="s">
        <v>25</v>
      </c>
      <c r="T255" t="str">
        <f>_xlfn.XLOOKUP(Tabela14[[#This Row],[Categoria]],CATEGORIAS!$C:$C,CATEGORIAS!$D:$D,"")</f>
        <v>2.1 Despesas Diretas</v>
      </c>
    </row>
    <row r="256" spans="4:20" x14ac:dyDescent="0.25">
      <c r="D256" s="1">
        <v>46206</v>
      </c>
      <c r="E256" s="1">
        <v>46206</v>
      </c>
      <c r="F256" s="17">
        <v>46206</v>
      </c>
      <c r="G256" t="s">
        <v>184</v>
      </c>
      <c r="H256" t="s">
        <v>27</v>
      </c>
      <c r="I256" t="s">
        <v>106</v>
      </c>
      <c r="J256" s="30">
        <v>-2104.96</v>
      </c>
      <c r="K256" s="30">
        <v>0</v>
      </c>
      <c r="L256" s="33">
        <v>-2104.96</v>
      </c>
      <c r="M256" t="s">
        <v>185</v>
      </c>
      <c r="N256" t="s">
        <v>186</v>
      </c>
      <c r="O256" s="34" t="s">
        <v>457</v>
      </c>
      <c r="P256" t="s">
        <v>187</v>
      </c>
      <c r="Q256" t="s">
        <v>23</v>
      </c>
      <c r="R256" t="s">
        <v>23</v>
      </c>
      <c r="S256" t="s">
        <v>25</v>
      </c>
      <c r="T256" t="str">
        <f>_xlfn.XLOOKUP(Tabela14[[#This Row],[Categoria]],CATEGORIAS!$C:$C,CATEGORIAS!$D:$D,"")</f>
        <v>2.1 Despesas Diretas</v>
      </c>
    </row>
    <row r="257" spans="4:20" x14ac:dyDescent="0.25">
      <c r="D257" s="1">
        <v>46206</v>
      </c>
      <c r="E257" s="1">
        <v>46206</v>
      </c>
      <c r="F257" s="17">
        <v>46206</v>
      </c>
      <c r="G257" t="s">
        <v>184</v>
      </c>
      <c r="H257" t="s">
        <v>27</v>
      </c>
      <c r="I257" t="s">
        <v>106</v>
      </c>
      <c r="J257" s="30">
        <v>-1142.4000000000001</v>
      </c>
      <c r="K257" s="30">
        <v>0</v>
      </c>
      <c r="L257" s="33">
        <v>-1142.4000000000001</v>
      </c>
      <c r="M257" t="s">
        <v>185</v>
      </c>
      <c r="N257" t="s">
        <v>186</v>
      </c>
      <c r="O257" s="34" t="s">
        <v>458</v>
      </c>
      <c r="P257" t="s">
        <v>187</v>
      </c>
      <c r="Q257" t="s">
        <v>23</v>
      </c>
      <c r="R257" t="s">
        <v>23</v>
      </c>
      <c r="S257" t="s">
        <v>25</v>
      </c>
      <c r="T257" t="str">
        <f>_xlfn.XLOOKUP(Tabela14[[#This Row],[Categoria]],CATEGORIAS!$C:$C,CATEGORIAS!$D:$D,"")</f>
        <v>2.1 Despesas Diretas</v>
      </c>
    </row>
    <row r="258" spans="4:20" x14ac:dyDescent="0.25">
      <c r="D258" s="1">
        <v>46234</v>
      </c>
      <c r="E258" s="1">
        <v>46234</v>
      </c>
      <c r="F258" s="17">
        <v>46234</v>
      </c>
      <c r="G258" t="s">
        <v>184</v>
      </c>
      <c r="H258" t="s">
        <v>27</v>
      </c>
      <c r="I258" t="s">
        <v>106</v>
      </c>
      <c r="J258" s="30">
        <v>-5804.8</v>
      </c>
      <c r="K258" s="30">
        <v>0</v>
      </c>
      <c r="L258" s="33">
        <v>-5804.8</v>
      </c>
      <c r="M258" t="s">
        <v>185</v>
      </c>
      <c r="N258" t="s">
        <v>186</v>
      </c>
      <c r="O258" s="34" t="s">
        <v>439</v>
      </c>
      <c r="P258" t="s">
        <v>187</v>
      </c>
      <c r="Q258" t="s">
        <v>23</v>
      </c>
      <c r="R258" t="s">
        <v>23</v>
      </c>
      <c r="S258" t="s">
        <v>25</v>
      </c>
      <c r="T258" t="str">
        <f>_xlfn.XLOOKUP(Tabela14[[#This Row],[Categoria]],CATEGORIAS!$C:$C,CATEGORIAS!$D:$D,"")</f>
        <v>2.1 Despesas Diretas</v>
      </c>
    </row>
    <row r="259" spans="4:20" x14ac:dyDescent="0.25">
      <c r="D259" s="1">
        <v>46234</v>
      </c>
      <c r="E259" s="1">
        <v>46234</v>
      </c>
      <c r="F259" s="17">
        <v>46234</v>
      </c>
      <c r="G259" t="s">
        <v>184</v>
      </c>
      <c r="H259" t="s">
        <v>27</v>
      </c>
      <c r="I259" t="s">
        <v>106</v>
      </c>
      <c r="J259" s="30">
        <v>-444.16</v>
      </c>
      <c r="K259" s="30">
        <v>0</v>
      </c>
      <c r="L259" s="33">
        <v>-444.16</v>
      </c>
      <c r="M259" t="s">
        <v>185</v>
      </c>
      <c r="N259" t="s">
        <v>186</v>
      </c>
      <c r="O259" s="34" t="s">
        <v>449</v>
      </c>
      <c r="P259" t="s">
        <v>187</v>
      </c>
      <c r="Q259" t="s">
        <v>23</v>
      </c>
      <c r="R259" t="s">
        <v>23</v>
      </c>
      <c r="S259" t="s">
        <v>25</v>
      </c>
      <c r="T259" t="str">
        <f>_xlfn.XLOOKUP(Tabela14[[#This Row],[Categoria]],CATEGORIAS!$C:$C,CATEGORIAS!$D:$D,"")</f>
        <v>2.1 Despesas Diretas</v>
      </c>
    </row>
    <row r="260" spans="4:20" x14ac:dyDescent="0.25">
      <c r="D260" s="1">
        <v>46234</v>
      </c>
      <c r="E260" s="1">
        <v>46234</v>
      </c>
      <c r="F260" s="17">
        <v>46234</v>
      </c>
      <c r="G260" t="s">
        <v>184</v>
      </c>
      <c r="H260" t="s">
        <v>27</v>
      </c>
      <c r="I260" t="s">
        <v>106</v>
      </c>
      <c r="J260" s="30">
        <v>-161.6</v>
      </c>
      <c r="K260" s="30">
        <v>0</v>
      </c>
      <c r="L260" s="33">
        <v>-161.6</v>
      </c>
      <c r="M260" t="s">
        <v>185</v>
      </c>
      <c r="N260" t="s">
        <v>186</v>
      </c>
      <c r="O260" s="34" t="s">
        <v>440</v>
      </c>
      <c r="P260" t="s">
        <v>187</v>
      </c>
      <c r="Q260" t="s">
        <v>23</v>
      </c>
      <c r="R260" t="s">
        <v>23</v>
      </c>
      <c r="S260" t="s">
        <v>25</v>
      </c>
      <c r="T260" t="str">
        <f>_xlfn.XLOOKUP(Tabela14[[#This Row],[Categoria]],CATEGORIAS!$C:$C,CATEGORIAS!$D:$D,"")</f>
        <v>2.1 Despesas Diretas</v>
      </c>
    </row>
    <row r="261" spans="4:20" x14ac:dyDescent="0.25">
      <c r="D261" s="1">
        <v>46234</v>
      </c>
      <c r="E261" s="1">
        <v>46234</v>
      </c>
      <c r="F261" s="17">
        <v>46234</v>
      </c>
      <c r="G261" t="s">
        <v>184</v>
      </c>
      <c r="H261" t="s">
        <v>27</v>
      </c>
      <c r="I261" t="s">
        <v>106</v>
      </c>
      <c r="J261" s="30">
        <v>-1142.4000000000001</v>
      </c>
      <c r="K261" s="30">
        <v>0</v>
      </c>
      <c r="L261" s="33">
        <v>-1142.4000000000001</v>
      </c>
      <c r="M261" t="s">
        <v>185</v>
      </c>
      <c r="N261" t="s">
        <v>186</v>
      </c>
      <c r="O261" s="34" t="s">
        <v>458</v>
      </c>
      <c r="P261" t="s">
        <v>187</v>
      </c>
      <c r="Q261" t="s">
        <v>23</v>
      </c>
      <c r="R261" t="s">
        <v>23</v>
      </c>
      <c r="S261" t="s">
        <v>25</v>
      </c>
      <c r="T261" t="str">
        <f>_xlfn.XLOOKUP(Tabela14[[#This Row],[Categoria]],CATEGORIAS!$C:$C,CATEGORIAS!$D:$D,"")</f>
        <v>2.1 Despesas Diretas</v>
      </c>
    </row>
    <row r="262" spans="4:20" x14ac:dyDescent="0.25">
      <c r="D262" s="1">
        <v>46234</v>
      </c>
      <c r="E262" s="1">
        <v>46234</v>
      </c>
      <c r="F262" s="17">
        <v>46234</v>
      </c>
      <c r="G262" t="s">
        <v>184</v>
      </c>
      <c r="H262" t="s">
        <v>27</v>
      </c>
      <c r="I262" t="s">
        <v>106</v>
      </c>
      <c r="J262" s="30">
        <v>-552</v>
      </c>
      <c r="K262" s="30">
        <v>0</v>
      </c>
      <c r="L262" s="33">
        <v>-552</v>
      </c>
      <c r="M262" t="s">
        <v>185</v>
      </c>
      <c r="N262" t="s">
        <v>186</v>
      </c>
      <c r="O262" s="34" t="s">
        <v>444</v>
      </c>
      <c r="P262" t="s">
        <v>187</v>
      </c>
      <c r="Q262" t="s">
        <v>23</v>
      </c>
      <c r="R262" t="s">
        <v>23</v>
      </c>
      <c r="S262" t="s">
        <v>25</v>
      </c>
      <c r="T262" t="str">
        <f>_xlfn.XLOOKUP(Tabela14[[#This Row],[Categoria]],CATEGORIAS!$C:$C,CATEGORIAS!$D:$D,"")</f>
        <v>2.1 Despesas Diretas</v>
      </c>
    </row>
    <row r="263" spans="4:20" x14ac:dyDescent="0.25">
      <c r="D263" s="1">
        <v>46234</v>
      </c>
      <c r="E263" s="1">
        <v>46234</v>
      </c>
      <c r="F263" s="17">
        <v>46234</v>
      </c>
      <c r="G263" t="s">
        <v>184</v>
      </c>
      <c r="H263" t="s">
        <v>27</v>
      </c>
      <c r="I263" t="s">
        <v>106</v>
      </c>
      <c r="J263" s="30">
        <v>-4160</v>
      </c>
      <c r="K263" s="30">
        <v>0</v>
      </c>
      <c r="L263" s="33">
        <v>-4160</v>
      </c>
      <c r="M263" t="s">
        <v>185</v>
      </c>
      <c r="N263" t="s">
        <v>186</v>
      </c>
      <c r="O263" s="34" t="s">
        <v>435</v>
      </c>
      <c r="P263" t="s">
        <v>187</v>
      </c>
      <c r="Q263" t="s">
        <v>23</v>
      </c>
      <c r="R263" t="s">
        <v>23</v>
      </c>
      <c r="S263" t="s">
        <v>25</v>
      </c>
      <c r="T263" t="str">
        <f>_xlfn.XLOOKUP(Tabela14[[#This Row],[Categoria]],CATEGORIAS!$C:$C,CATEGORIAS!$D:$D,"")</f>
        <v>2.1 Despesas Diretas</v>
      </c>
    </row>
    <row r="264" spans="4:20" x14ac:dyDescent="0.25">
      <c r="D264" s="1">
        <v>46234</v>
      </c>
      <c r="E264" s="1">
        <v>46234</v>
      </c>
      <c r="F264" s="17">
        <v>46234</v>
      </c>
      <c r="G264" t="s">
        <v>184</v>
      </c>
      <c r="H264" t="s">
        <v>27</v>
      </c>
      <c r="I264" t="s">
        <v>106</v>
      </c>
      <c r="J264" s="30">
        <v>-1545.6</v>
      </c>
      <c r="K264" s="30">
        <v>0</v>
      </c>
      <c r="L264" s="33">
        <v>-1545.6</v>
      </c>
      <c r="M264" t="s">
        <v>185</v>
      </c>
      <c r="N264" t="s">
        <v>186</v>
      </c>
      <c r="O264" s="34" t="s">
        <v>429</v>
      </c>
      <c r="P264" t="s">
        <v>187</v>
      </c>
      <c r="Q264" t="s">
        <v>23</v>
      </c>
      <c r="R264" t="s">
        <v>23</v>
      </c>
      <c r="S264" t="s">
        <v>25</v>
      </c>
      <c r="T264" t="str">
        <f>_xlfn.XLOOKUP(Tabela14[[#This Row],[Categoria]],CATEGORIAS!$C:$C,CATEGORIAS!$D:$D,"")</f>
        <v>2.1 Despesas Diretas</v>
      </c>
    </row>
    <row r="265" spans="4:20" x14ac:dyDescent="0.25">
      <c r="D265" s="1">
        <v>46234</v>
      </c>
      <c r="E265" s="1">
        <v>46234</v>
      </c>
      <c r="F265" s="17">
        <v>46234</v>
      </c>
      <c r="G265" t="s">
        <v>184</v>
      </c>
      <c r="H265" t="s">
        <v>27</v>
      </c>
      <c r="I265" t="s">
        <v>106</v>
      </c>
      <c r="J265" s="30">
        <v>-255.36</v>
      </c>
      <c r="K265" s="30">
        <v>0</v>
      </c>
      <c r="L265" s="33">
        <v>-255.36</v>
      </c>
      <c r="M265" t="s">
        <v>185</v>
      </c>
      <c r="N265" t="s">
        <v>186</v>
      </c>
      <c r="O265" s="34" t="s">
        <v>445</v>
      </c>
      <c r="P265" t="s">
        <v>187</v>
      </c>
      <c r="Q265" t="s">
        <v>23</v>
      </c>
      <c r="R265" t="s">
        <v>23</v>
      </c>
      <c r="S265" t="s">
        <v>25</v>
      </c>
      <c r="T265" t="str">
        <f>_xlfn.XLOOKUP(Tabela14[[#This Row],[Categoria]],CATEGORIAS!$C:$C,CATEGORIAS!$D:$D,"")</f>
        <v>2.1 Despesas Diretas</v>
      </c>
    </row>
    <row r="266" spans="4:20" x14ac:dyDescent="0.25">
      <c r="D266" s="1">
        <v>46234</v>
      </c>
      <c r="E266" s="1">
        <v>46234</v>
      </c>
      <c r="F266" s="17">
        <v>46238</v>
      </c>
      <c r="G266" t="s">
        <v>184</v>
      </c>
      <c r="H266" t="s">
        <v>27</v>
      </c>
      <c r="I266" t="s">
        <v>91</v>
      </c>
      <c r="J266" s="30">
        <v>-36522.239999999998</v>
      </c>
      <c r="K266" s="30">
        <v>0</v>
      </c>
      <c r="L266" s="33">
        <v>-36522.239999999998</v>
      </c>
      <c r="M266" t="s">
        <v>185</v>
      </c>
      <c r="N266" t="s">
        <v>186</v>
      </c>
      <c r="O266" s="34" t="s">
        <v>426</v>
      </c>
      <c r="P266" t="s">
        <v>187</v>
      </c>
      <c r="Q266" t="s">
        <v>23</v>
      </c>
      <c r="R266" t="s">
        <v>23</v>
      </c>
      <c r="S266" t="s">
        <v>25</v>
      </c>
      <c r="T266" t="str">
        <f>_xlfn.XLOOKUP(Tabela14[[#This Row],[Categoria]],CATEGORIAS!$C:$C,CATEGORIAS!$D:$D,"")</f>
        <v>2.1 Despesas Diretas</v>
      </c>
    </row>
    <row r="267" spans="4:20" x14ac:dyDescent="0.25">
      <c r="D267" s="1">
        <v>46234</v>
      </c>
      <c r="E267" s="1">
        <v>46234</v>
      </c>
      <c r="F267" s="17">
        <v>46234</v>
      </c>
      <c r="G267" t="s">
        <v>184</v>
      </c>
      <c r="H267" t="s">
        <v>27</v>
      </c>
      <c r="I267" t="s">
        <v>106</v>
      </c>
      <c r="J267" s="30">
        <v>-444.16</v>
      </c>
      <c r="K267" s="30">
        <v>0</v>
      </c>
      <c r="L267" s="33">
        <v>-444.16</v>
      </c>
      <c r="M267" t="s">
        <v>185</v>
      </c>
      <c r="N267" t="s">
        <v>186</v>
      </c>
      <c r="O267" s="34" t="s">
        <v>437</v>
      </c>
      <c r="P267" t="s">
        <v>187</v>
      </c>
      <c r="Q267" t="s">
        <v>23</v>
      </c>
      <c r="R267" t="s">
        <v>23</v>
      </c>
      <c r="S267" t="s">
        <v>25</v>
      </c>
      <c r="T267" t="str">
        <f>_xlfn.XLOOKUP(Tabela14[[#This Row],[Categoria]],CATEGORIAS!$C:$C,CATEGORIAS!$D:$D,"")</f>
        <v>2.1 Despesas Diretas</v>
      </c>
    </row>
    <row r="268" spans="4:20" x14ac:dyDescent="0.25">
      <c r="D268" s="1">
        <v>46234</v>
      </c>
      <c r="E268" s="1">
        <v>46234</v>
      </c>
      <c r="F268" s="17">
        <v>46234</v>
      </c>
      <c r="G268" t="s">
        <v>184</v>
      </c>
      <c r="H268" t="s">
        <v>27</v>
      </c>
      <c r="I268" t="s">
        <v>106</v>
      </c>
      <c r="J268" s="30">
        <v>-415.68</v>
      </c>
      <c r="K268" s="30">
        <v>0</v>
      </c>
      <c r="L268" s="33">
        <v>-415.68</v>
      </c>
      <c r="M268" t="s">
        <v>185</v>
      </c>
      <c r="N268" t="s">
        <v>186</v>
      </c>
      <c r="O268" s="34" t="s">
        <v>447</v>
      </c>
      <c r="P268" t="s">
        <v>187</v>
      </c>
      <c r="Q268" t="s">
        <v>23</v>
      </c>
      <c r="R268" t="s">
        <v>23</v>
      </c>
      <c r="S268" t="s">
        <v>25</v>
      </c>
      <c r="T268" t="str">
        <f>_xlfn.XLOOKUP(Tabela14[[#This Row],[Categoria]],CATEGORIAS!$C:$C,CATEGORIAS!$D:$D,"")</f>
        <v>2.1 Despesas Diretas</v>
      </c>
    </row>
    <row r="269" spans="4:20" x14ac:dyDescent="0.25">
      <c r="D269" s="1">
        <v>46234</v>
      </c>
      <c r="E269" s="1">
        <v>46234</v>
      </c>
      <c r="F269" s="17">
        <v>46234</v>
      </c>
      <c r="G269" t="s">
        <v>184</v>
      </c>
      <c r="H269" t="s">
        <v>27</v>
      </c>
      <c r="I269" t="s">
        <v>106</v>
      </c>
      <c r="J269" s="30">
        <v>-2104.96</v>
      </c>
      <c r="K269" s="30">
        <v>0</v>
      </c>
      <c r="L269" s="33">
        <v>-2104.96</v>
      </c>
      <c r="M269" t="s">
        <v>185</v>
      </c>
      <c r="N269" t="s">
        <v>186</v>
      </c>
      <c r="O269" s="34" t="s">
        <v>457</v>
      </c>
      <c r="P269" t="s">
        <v>187</v>
      </c>
      <c r="Q269" t="s">
        <v>23</v>
      </c>
      <c r="R269" t="s">
        <v>23</v>
      </c>
      <c r="S269" t="s">
        <v>25</v>
      </c>
      <c r="T269" t="str">
        <f>_xlfn.XLOOKUP(Tabela14[[#This Row],[Categoria]],CATEGORIAS!$C:$C,CATEGORIAS!$D:$D,"")</f>
        <v>2.1 Despesas Diretas</v>
      </c>
    </row>
    <row r="270" spans="4:20" x14ac:dyDescent="0.25">
      <c r="D270" s="1">
        <v>46234</v>
      </c>
      <c r="E270" s="1">
        <v>46234</v>
      </c>
      <c r="F270" s="17">
        <v>46234</v>
      </c>
      <c r="G270" t="s">
        <v>184</v>
      </c>
      <c r="H270" t="s">
        <v>27</v>
      </c>
      <c r="I270" t="s">
        <v>106</v>
      </c>
      <c r="J270" s="30">
        <v>-1276.8</v>
      </c>
      <c r="K270" s="30">
        <v>0</v>
      </c>
      <c r="L270" s="33">
        <v>-1276.8</v>
      </c>
      <c r="M270" t="s">
        <v>185</v>
      </c>
      <c r="N270" t="s">
        <v>186</v>
      </c>
      <c r="O270" s="34" t="s">
        <v>436</v>
      </c>
      <c r="P270" t="s">
        <v>187</v>
      </c>
      <c r="Q270" t="s">
        <v>23</v>
      </c>
      <c r="R270" t="s">
        <v>23</v>
      </c>
      <c r="S270" t="s">
        <v>25</v>
      </c>
      <c r="T270" t="str">
        <f>_xlfn.XLOOKUP(Tabela14[[#This Row],[Categoria]],CATEGORIAS!$C:$C,CATEGORIAS!$D:$D,"")</f>
        <v>2.1 Despesas Diretas</v>
      </c>
    </row>
    <row r="271" spans="4:20" x14ac:dyDescent="0.25">
      <c r="D271" s="1">
        <v>46234</v>
      </c>
      <c r="E271" s="1">
        <v>46234</v>
      </c>
      <c r="F271" s="17">
        <v>46234</v>
      </c>
      <c r="G271" t="s">
        <v>184</v>
      </c>
      <c r="H271" t="s">
        <v>27</v>
      </c>
      <c r="I271" t="s">
        <v>106</v>
      </c>
      <c r="J271" s="30">
        <v>-668.8</v>
      </c>
      <c r="K271" s="30">
        <v>0</v>
      </c>
      <c r="L271" s="33">
        <v>-668.8</v>
      </c>
      <c r="M271" t="s">
        <v>185</v>
      </c>
      <c r="N271" t="s">
        <v>186</v>
      </c>
      <c r="O271" s="34" t="s">
        <v>441</v>
      </c>
      <c r="P271" t="s">
        <v>187</v>
      </c>
      <c r="Q271" t="s">
        <v>23</v>
      </c>
      <c r="R271" t="s">
        <v>23</v>
      </c>
      <c r="S271" t="s">
        <v>25</v>
      </c>
      <c r="T271" t="str">
        <f>_xlfn.XLOOKUP(Tabela14[[#This Row],[Categoria]],CATEGORIAS!$C:$C,CATEGORIAS!$D:$D,"")</f>
        <v>2.1 Despesas Diretas</v>
      </c>
    </row>
    <row r="272" spans="4:20" x14ac:dyDescent="0.25">
      <c r="D272" s="1">
        <v>46234</v>
      </c>
      <c r="E272" s="1">
        <v>46234</v>
      </c>
      <c r="F272" s="17">
        <v>46234</v>
      </c>
      <c r="G272" t="s">
        <v>184</v>
      </c>
      <c r="H272" t="s">
        <v>27</v>
      </c>
      <c r="I272" t="s">
        <v>106</v>
      </c>
      <c r="J272" s="30">
        <v>-7840</v>
      </c>
      <c r="K272" s="30">
        <v>0</v>
      </c>
      <c r="L272" s="33">
        <v>-7840</v>
      </c>
      <c r="M272" t="s">
        <v>185</v>
      </c>
      <c r="N272" t="s">
        <v>186</v>
      </c>
      <c r="O272" s="34" t="s">
        <v>448</v>
      </c>
      <c r="P272" t="s">
        <v>187</v>
      </c>
      <c r="Q272" t="s">
        <v>23</v>
      </c>
      <c r="R272" t="s">
        <v>23</v>
      </c>
      <c r="S272" t="s">
        <v>25</v>
      </c>
      <c r="T272" t="str">
        <f>_xlfn.XLOOKUP(Tabela14[[#This Row],[Categoria]],CATEGORIAS!$C:$C,CATEGORIAS!$D:$D,"")</f>
        <v>2.1 Despesas Diretas</v>
      </c>
    </row>
    <row r="273" spans="4:20" x14ac:dyDescent="0.25">
      <c r="D273" s="1">
        <v>46234</v>
      </c>
      <c r="E273" s="1">
        <v>46234</v>
      </c>
      <c r="F273" s="17">
        <v>46234</v>
      </c>
      <c r="G273" t="s">
        <v>184</v>
      </c>
      <c r="H273" t="s">
        <v>27</v>
      </c>
      <c r="I273" t="s">
        <v>106</v>
      </c>
      <c r="J273" s="30">
        <v>-5804.8</v>
      </c>
      <c r="K273" s="30">
        <v>0</v>
      </c>
      <c r="L273" s="33">
        <v>-5804.8</v>
      </c>
      <c r="M273" t="s">
        <v>185</v>
      </c>
      <c r="N273" t="s">
        <v>186</v>
      </c>
      <c r="O273" s="34" t="s">
        <v>428</v>
      </c>
      <c r="P273" t="s">
        <v>187</v>
      </c>
      <c r="Q273" t="s">
        <v>23</v>
      </c>
      <c r="R273" t="s">
        <v>23</v>
      </c>
      <c r="S273" t="s">
        <v>25</v>
      </c>
      <c r="T273" t="str">
        <f>_xlfn.XLOOKUP(Tabela14[[#This Row],[Categoria]],CATEGORIAS!$C:$C,CATEGORIAS!$D:$D,"")</f>
        <v>2.1 Despesas Diretas</v>
      </c>
    </row>
    <row r="274" spans="4:20" x14ac:dyDescent="0.25">
      <c r="D274" s="1">
        <v>46234</v>
      </c>
      <c r="E274" s="1">
        <v>46234</v>
      </c>
      <c r="F274" s="17">
        <v>46234</v>
      </c>
      <c r="G274" t="s">
        <v>184</v>
      </c>
      <c r="H274" t="s">
        <v>27</v>
      </c>
      <c r="I274" t="s">
        <v>106</v>
      </c>
      <c r="J274" s="30">
        <v>-5601.63</v>
      </c>
      <c r="K274" s="30">
        <v>0</v>
      </c>
      <c r="L274" s="33">
        <v>-5601.63</v>
      </c>
      <c r="M274" t="s">
        <v>185</v>
      </c>
      <c r="N274" t="s">
        <v>186</v>
      </c>
      <c r="O274" s="34" t="s">
        <v>454</v>
      </c>
      <c r="P274" t="s">
        <v>187</v>
      </c>
      <c r="Q274" t="s">
        <v>23</v>
      </c>
      <c r="R274" t="s">
        <v>23</v>
      </c>
      <c r="S274" t="s">
        <v>25</v>
      </c>
      <c r="T274" t="str">
        <f>_xlfn.XLOOKUP(Tabela14[[#This Row],[Categoria]],CATEGORIAS!$C:$C,CATEGORIAS!$D:$D,"")</f>
        <v>2.1 Despesas Diretas</v>
      </c>
    </row>
    <row r="275" spans="4:20" x14ac:dyDescent="0.25">
      <c r="D275" s="1">
        <v>46234</v>
      </c>
      <c r="E275" s="1">
        <v>46234</v>
      </c>
      <c r="F275" s="17">
        <v>46234</v>
      </c>
      <c r="G275" t="s">
        <v>184</v>
      </c>
      <c r="H275" t="s">
        <v>27</v>
      </c>
      <c r="I275" t="s">
        <v>106</v>
      </c>
      <c r="J275" s="30">
        <v>-1429.76</v>
      </c>
      <c r="K275" s="30">
        <v>0</v>
      </c>
      <c r="L275" s="33">
        <v>-1429.76</v>
      </c>
      <c r="M275" t="s">
        <v>185</v>
      </c>
      <c r="N275" t="s">
        <v>186</v>
      </c>
      <c r="O275" s="34" t="s">
        <v>456</v>
      </c>
      <c r="P275" t="s">
        <v>187</v>
      </c>
      <c r="Q275" t="s">
        <v>23</v>
      </c>
      <c r="R275" t="s">
        <v>23</v>
      </c>
      <c r="S275" t="s">
        <v>25</v>
      </c>
      <c r="T275" t="str">
        <f>_xlfn.XLOOKUP(Tabela14[[#This Row],[Categoria]],CATEGORIAS!$C:$C,CATEGORIAS!$D:$D,"")</f>
        <v>2.1 Despesas Diretas</v>
      </c>
    </row>
    <row r="276" spans="4:20" x14ac:dyDescent="0.25">
      <c r="D276" s="1">
        <v>46234</v>
      </c>
      <c r="E276" s="1">
        <v>46234</v>
      </c>
      <c r="F276" s="17">
        <v>46234</v>
      </c>
      <c r="G276" t="s">
        <v>184</v>
      </c>
      <c r="H276" t="s">
        <v>27</v>
      </c>
      <c r="I276" t="s">
        <v>106</v>
      </c>
      <c r="J276" s="30">
        <v>-181.44</v>
      </c>
      <c r="K276" s="30">
        <v>0</v>
      </c>
      <c r="L276" s="33">
        <v>-181.44</v>
      </c>
      <c r="M276" t="s">
        <v>185</v>
      </c>
      <c r="N276" t="s">
        <v>186</v>
      </c>
      <c r="O276" s="34" t="s">
        <v>453</v>
      </c>
      <c r="P276" t="s">
        <v>187</v>
      </c>
      <c r="Q276" t="s">
        <v>23</v>
      </c>
      <c r="R276" t="s">
        <v>23</v>
      </c>
      <c r="S276" t="s">
        <v>25</v>
      </c>
      <c r="T276" t="str">
        <f>_xlfn.XLOOKUP(Tabela14[[#This Row],[Categoria]],CATEGORIAS!$C:$C,CATEGORIAS!$D:$D,"")</f>
        <v>2.1 Despesas Diretas</v>
      </c>
    </row>
    <row r="277" spans="4:20" x14ac:dyDescent="0.25">
      <c r="D277" s="1">
        <v>46234</v>
      </c>
      <c r="E277" s="1">
        <v>46234</v>
      </c>
      <c r="F277" s="17">
        <v>46234</v>
      </c>
      <c r="G277" t="s">
        <v>184</v>
      </c>
      <c r="H277" t="s">
        <v>27</v>
      </c>
      <c r="I277" t="s">
        <v>106</v>
      </c>
      <c r="J277" s="30">
        <v>-482.24</v>
      </c>
      <c r="K277" s="30">
        <v>0</v>
      </c>
      <c r="L277" s="33">
        <v>-482.24</v>
      </c>
      <c r="M277" t="s">
        <v>185</v>
      </c>
      <c r="N277" t="s">
        <v>186</v>
      </c>
      <c r="O277" s="34" t="s">
        <v>438</v>
      </c>
      <c r="P277" t="s">
        <v>187</v>
      </c>
      <c r="Q277" t="s">
        <v>23</v>
      </c>
      <c r="R277" t="s">
        <v>23</v>
      </c>
      <c r="S277" t="s">
        <v>25</v>
      </c>
      <c r="T277" t="str">
        <f>_xlfn.XLOOKUP(Tabela14[[#This Row],[Categoria]],CATEGORIAS!$C:$C,CATEGORIAS!$D:$D,"")</f>
        <v>2.1 Despesas Diretas</v>
      </c>
    </row>
    <row r="278" spans="4:20" x14ac:dyDescent="0.25">
      <c r="D278" s="1">
        <v>46234</v>
      </c>
      <c r="E278" s="1">
        <v>46234</v>
      </c>
      <c r="F278" s="17">
        <v>46234</v>
      </c>
      <c r="G278" t="s">
        <v>184</v>
      </c>
      <c r="H278" t="s">
        <v>27</v>
      </c>
      <c r="I278" t="s">
        <v>106</v>
      </c>
      <c r="J278" s="30">
        <v>-7840</v>
      </c>
      <c r="K278" s="30">
        <v>0</v>
      </c>
      <c r="L278" s="33">
        <v>-7840</v>
      </c>
      <c r="M278" t="s">
        <v>185</v>
      </c>
      <c r="N278" t="s">
        <v>186</v>
      </c>
      <c r="O278" s="34" t="s">
        <v>431</v>
      </c>
      <c r="P278" t="s">
        <v>187</v>
      </c>
      <c r="Q278" t="s">
        <v>23</v>
      </c>
      <c r="R278" t="s">
        <v>23</v>
      </c>
      <c r="S278" t="s">
        <v>25</v>
      </c>
      <c r="T278" t="str">
        <f>_xlfn.XLOOKUP(Tabela14[[#This Row],[Categoria]],CATEGORIAS!$C:$C,CATEGORIAS!$D:$D,"")</f>
        <v>2.1 Despesas Diretas</v>
      </c>
    </row>
    <row r="279" spans="4:20" x14ac:dyDescent="0.25">
      <c r="D279" s="1">
        <v>46234</v>
      </c>
      <c r="E279" s="1">
        <v>46234</v>
      </c>
      <c r="F279" s="17">
        <v>46234</v>
      </c>
      <c r="G279" t="s">
        <v>184</v>
      </c>
      <c r="H279" t="s">
        <v>27</v>
      </c>
      <c r="I279" t="s">
        <v>106</v>
      </c>
      <c r="J279" s="30">
        <v>-5804.8</v>
      </c>
      <c r="K279" s="30">
        <v>0</v>
      </c>
      <c r="L279" s="33">
        <v>-5804.8</v>
      </c>
      <c r="M279" t="s">
        <v>185</v>
      </c>
      <c r="N279" t="s">
        <v>186</v>
      </c>
      <c r="O279" s="34" t="s">
        <v>427</v>
      </c>
      <c r="P279" t="s">
        <v>187</v>
      </c>
      <c r="Q279" t="s">
        <v>23</v>
      </c>
      <c r="R279" t="s">
        <v>23</v>
      </c>
      <c r="S279" t="s">
        <v>25</v>
      </c>
      <c r="T279" t="str">
        <f>_xlfn.XLOOKUP(Tabela14[[#This Row],[Categoria]],CATEGORIAS!$C:$C,CATEGORIAS!$D:$D,"")</f>
        <v>2.1 Despesas Diretas</v>
      </c>
    </row>
    <row r="280" spans="4:20" x14ac:dyDescent="0.25">
      <c r="D280" s="1">
        <v>46234</v>
      </c>
      <c r="E280" s="1">
        <v>46234</v>
      </c>
      <c r="F280" s="17">
        <v>46234</v>
      </c>
      <c r="G280" t="s">
        <v>184</v>
      </c>
      <c r="H280" t="s">
        <v>27</v>
      </c>
      <c r="I280" t="s">
        <v>106</v>
      </c>
      <c r="J280" s="30">
        <v>-255.36</v>
      </c>
      <c r="K280" s="30">
        <v>0</v>
      </c>
      <c r="L280" s="33">
        <v>-255.36</v>
      </c>
      <c r="M280" t="s">
        <v>185</v>
      </c>
      <c r="N280" t="s">
        <v>186</v>
      </c>
      <c r="O280" s="34" t="s">
        <v>446</v>
      </c>
      <c r="P280" t="s">
        <v>187</v>
      </c>
      <c r="Q280" t="s">
        <v>23</v>
      </c>
      <c r="R280" t="s">
        <v>23</v>
      </c>
      <c r="S280" t="s">
        <v>25</v>
      </c>
      <c r="T280" t="str">
        <f>_xlfn.XLOOKUP(Tabela14[[#This Row],[Categoria]],CATEGORIAS!$C:$C,CATEGORIAS!$D:$D,"")</f>
        <v>2.1 Despesas Diretas</v>
      </c>
    </row>
    <row r="281" spans="4:20" x14ac:dyDescent="0.25">
      <c r="D281" s="1">
        <v>46234</v>
      </c>
      <c r="E281" s="1">
        <v>46234</v>
      </c>
      <c r="F281" s="17">
        <v>46234</v>
      </c>
      <c r="G281" t="s">
        <v>184</v>
      </c>
      <c r="H281" t="s">
        <v>27</v>
      </c>
      <c r="I281" t="s">
        <v>106</v>
      </c>
      <c r="J281" s="30">
        <v>-540.79999999999995</v>
      </c>
      <c r="K281" s="30">
        <v>0</v>
      </c>
      <c r="L281" s="33">
        <v>-540.79999999999995</v>
      </c>
      <c r="M281" t="s">
        <v>185</v>
      </c>
      <c r="N281" t="s">
        <v>186</v>
      </c>
      <c r="O281" s="34" t="s">
        <v>433</v>
      </c>
      <c r="P281" t="s">
        <v>187</v>
      </c>
      <c r="Q281" t="s">
        <v>23</v>
      </c>
      <c r="R281" t="s">
        <v>23</v>
      </c>
      <c r="S281" t="s">
        <v>25</v>
      </c>
      <c r="T281" t="str">
        <f>_xlfn.XLOOKUP(Tabela14[[#This Row],[Categoria]],CATEGORIAS!$C:$C,CATEGORIAS!$D:$D,"")</f>
        <v>2.1 Despesas Diretas</v>
      </c>
    </row>
    <row r="282" spans="4:20" x14ac:dyDescent="0.25">
      <c r="D282" s="1">
        <v>46234</v>
      </c>
      <c r="E282" s="1">
        <v>46234</v>
      </c>
      <c r="F282" s="17">
        <v>46234</v>
      </c>
      <c r="G282" t="s">
        <v>184</v>
      </c>
      <c r="H282" t="s">
        <v>27</v>
      </c>
      <c r="I282" t="s">
        <v>106</v>
      </c>
      <c r="J282" s="30">
        <v>-1097.5999999999999</v>
      </c>
      <c r="K282" s="30">
        <v>0</v>
      </c>
      <c r="L282" s="33">
        <v>-1097.5999999999999</v>
      </c>
      <c r="M282" t="s">
        <v>185</v>
      </c>
      <c r="N282" t="s">
        <v>186</v>
      </c>
      <c r="O282" s="34" t="s">
        <v>455</v>
      </c>
      <c r="P282" t="s">
        <v>187</v>
      </c>
      <c r="Q282" t="s">
        <v>23</v>
      </c>
      <c r="R282" t="s">
        <v>23</v>
      </c>
      <c r="S282" t="s">
        <v>25</v>
      </c>
      <c r="T282" t="str">
        <f>_xlfn.XLOOKUP(Tabela14[[#This Row],[Categoria]],CATEGORIAS!$C:$C,CATEGORIAS!$D:$D,"")</f>
        <v>2.1 Despesas Diretas</v>
      </c>
    </row>
    <row r="283" spans="4:20" x14ac:dyDescent="0.25">
      <c r="D283" s="1">
        <v>46234</v>
      </c>
      <c r="E283" s="1">
        <v>46234</v>
      </c>
      <c r="F283" s="17">
        <v>46234</v>
      </c>
      <c r="G283" t="s">
        <v>184</v>
      </c>
      <c r="H283" t="s">
        <v>27</v>
      </c>
      <c r="I283" t="s">
        <v>106</v>
      </c>
      <c r="J283" s="30">
        <v>-621.44000000000005</v>
      </c>
      <c r="K283" s="30">
        <v>0</v>
      </c>
      <c r="L283" s="33">
        <v>-621.44000000000005</v>
      </c>
      <c r="M283" t="s">
        <v>185</v>
      </c>
      <c r="N283" t="s">
        <v>186</v>
      </c>
      <c r="O283" s="34" t="s">
        <v>451</v>
      </c>
      <c r="P283" t="s">
        <v>187</v>
      </c>
      <c r="Q283" t="s">
        <v>23</v>
      </c>
      <c r="R283" t="s">
        <v>23</v>
      </c>
      <c r="S283" t="s">
        <v>25</v>
      </c>
      <c r="T283" t="str">
        <f>_xlfn.XLOOKUP(Tabela14[[#This Row],[Categoria]],CATEGORIAS!$C:$C,CATEGORIAS!$D:$D,"")</f>
        <v>2.1 Despesas Diretas</v>
      </c>
    </row>
    <row r="284" spans="4:20" x14ac:dyDescent="0.25">
      <c r="D284" s="1">
        <v>46234</v>
      </c>
      <c r="E284" s="1">
        <v>46234</v>
      </c>
      <c r="F284" s="17">
        <v>46234</v>
      </c>
      <c r="G284" t="s">
        <v>184</v>
      </c>
      <c r="H284" t="s">
        <v>27</v>
      </c>
      <c r="I284" t="s">
        <v>106</v>
      </c>
      <c r="J284" s="30">
        <v>-1219.8399999999999</v>
      </c>
      <c r="K284" s="30">
        <v>0</v>
      </c>
      <c r="L284" s="33">
        <v>-1219.8399999999999</v>
      </c>
      <c r="M284" t="s">
        <v>185</v>
      </c>
      <c r="N284" t="s">
        <v>186</v>
      </c>
      <c r="O284" s="34" t="s">
        <v>432</v>
      </c>
      <c r="P284" t="s">
        <v>187</v>
      </c>
      <c r="Q284" t="s">
        <v>23</v>
      </c>
      <c r="R284" t="s">
        <v>23</v>
      </c>
      <c r="S284" t="s">
        <v>25</v>
      </c>
      <c r="T284" t="str">
        <f>_xlfn.XLOOKUP(Tabela14[[#This Row],[Categoria]],CATEGORIAS!$C:$C,CATEGORIAS!$D:$D,"")</f>
        <v>2.1 Despesas Diretas</v>
      </c>
    </row>
    <row r="285" spans="4:20" x14ac:dyDescent="0.25">
      <c r="D285" s="1">
        <v>46234</v>
      </c>
      <c r="E285" s="1">
        <v>46234</v>
      </c>
      <c r="F285" s="17">
        <v>46234</v>
      </c>
      <c r="G285" t="s">
        <v>184</v>
      </c>
      <c r="H285" t="s">
        <v>27</v>
      </c>
      <c r="I285" t="s">
        <v>106</v>
      </c>
      <c r="J285" s="30">
        <v>-7840</v>
      </c>
      <c r="K285" s="30">
        <v>0</v>
      </c>
      <c r="L285" s="33">
        <v>-7840</v>
      </c>
      <c r="M285" t="s">
        <v>185</v>
      </c>
      <c r="N285" t="s">
        <v>186</v>
      </c>
      <c r="O285" s="34" t="s">
        <v>442</v>
      </c>
      <c r="P285" t="s">
        <v>187</v>
      </c>
      <c r="Q285" t="s">
        <v>23</v>
      </c>
      <c r="R285" t="s">
        <v>23</v>
      </c>
      <c r="S285" t="s">
        <v>25</v>
      </c>
      <c r="T285" t="str">
        <f>_xlfn.XLOOKUP(Tabela14[[#This Row],[Categoria]],CATEGORIAS!$C:$C,CATEGORIAS!$D:$D,"")</f>
        <v>2.1 Despesas Diretas</v>
      </c>
    </row>
    <row r="286" spans="4:20" x14ac:dyDescent="0.25">
      <c r="D286" s="1">
        <v>46234</v>
      </c>
      <c r="E286" s="1">
        <v>46234</v>
      </c>
      <c r="F286" s="17">
        <v>46234</v>
      </c>
      <c r="G286" t="s">
        <v>184</v>
      </c>
      <c r="H286" t="s">
        <v>27</v>
      </c>
      <c r="I286" t="s">
        <v>106</v>
      </c>
      <c r="J286" s="30">
        <v>-3782.4</v>
      </c>
      <c r="K286" s="30">
        <v>0</v>
      </c>
      <c r="L286" s="33">
        <v>-3782.4</v>
      </c>
      <c r="M286" t="s">
        <v>185</v>
      </c>
      <c r="N286" t="s">
        <v>186</v>
      </c>
      <c r="O286" s="34" t="s">
        <v>443</v>
      </c>
      <c r="P286" t="s">
        <v>187</v>
      </c>
      <c r="Q286" t="s">
        <v>23</v>
      </c>
      <c r="R286" t="s">
        <v>23</v>
      </c>
      <c r="S286" t="s">
        <v>25</v>
      </c>
      <c r="T286" t="str">
        <f>_xlfn.XLOOKUP(Tabela14[[#This Row],[Categoria]],CATEGORIAS!$C:$C,CATEGORIAS!$D:$D,"")</f>
        <v>2.1 Despesas Diretas</v>
      </c>
    </row>
    <row r="287" spans="4:20" x14ac:dyDescent="0.25">
      <c r="D287" s="1">
        <v>46234</v>
      </c>
      <c r="E287" s="1">
        <v>46234</v>
      </c>
      <c r="F287" s="17">
        <v>46234</v>
      </c>
      <c r="G287" t="s">
        <v>184</v>
      </c>
      <c r="H287" t="s">
        <v>27</v>
      </c>
      <c r="I287" t="s">
        <v>106</v>
      </c>
      <c r="J287" s="30">
        <v>-444.16</v>
      </c>
      <c r="K287" s="30">
        <v>0</v>
      </c>
      <c r="L287" s="33">
        <v>-444.16</v>
      </c>
      <c r="M287" t="s">
        <v>185</v>
      </c>
      <c r="N287" t="s">
        <v>186</v>
      </c>
      <c r="O287" s="34" t="s">
        <v>450</v>
      </c>
      <c r="P287" t="s">
        <v>187</v>
      </c>
      <c r="Q287" t="s">
        <v>23</v>
      </c>
      <c r="R287" t="s">
        <v>23</v>
      </c>
      <c r="S287" t="s">
        <v>25</v>
      </c>
      <c r="T287" t="str">
        <f>_xlfn.XLOOKUP(Tabela14[[#This Row],[Categoria]],CATEGORIAS!$C:$C,CATEGORIAS!$D:$D,"")</f>
        <v>2.1 Despesas Diretas</v>
      </c>
    </row>
    <row r="288" spans="4:20" x14ac:dyDescent="0.25">
      <c r="D288" s="1">
        <v>46234</v>
      </c>
      <c r="E288" s="1">
        <v>46234</v>
      </c>
      <c r="F288" s="17">
        <v>46234</v>
      </c>
      <c r="G288" t="s">
        <v>184</v>
      </c>
      <c r="H288" t="s">
        <v>27</v>
      </c>
      <c r="I288" t="s">
        <v>106</v>
      </c>
      <c r="J288" s="30">
        <v>-1200</v>
      </c>
      <c r="K288" s="30">
        <v>0</v>
      </c>
      <c r="L288" s="33">
        <v>-1200</v>
      </c>
      <c r="M288" t="s">
        <v>185</v>
      </c>
      <c r="N288" t="s">
        <v>186</v>
      </c>
      <c r="O288" s="34" t="s">
        <v>452</v>
      </c>
      <c r="P288" t="s">
        <v>187</v>
      </c>
      <c r="Q288" t="s">
        <v>23</v>
      </c>
      <c r="R288" t="s">
        <v>23</v>
      </c>
      <c r="S288" t="s">
        <v>25</v>
      </c>
      <c r="T288" t="str">
        <f>_xlfn.XLOOKUP(Tabela14[[#This Row],[Categoria]],CATEGORIAS!$C:$C,CATEGORIAS!$D:$D,"")</f>
        <v>2.1 Despesas Diretas</v>
      </c>
    </row>
    <row r="289" spans="4:20" x14ac:dyDescent="0.25">
      <c r="D289" s="1">
        <v>46234</v>
      </c>
      <c r="E289" s="1">
        <v>46234</v>
      </c>
      <c r="F289" s="17">
        <v>46234</v>
      </c>
      <c r="G289" t="s">
        <v>184</v>
      </c>
      <c r="H289" t="s">
        <v>27</v>
      </c>
      <c r="I289" t="s">
        <v>106</v>
      </c>
      <c r="J289" s="30">
        <v>-5104</v>
      </c>
      <c r="K289" s="30">
        <v>0</v>
      </c>
      <c r="L289" s="33">
        <v>-5104</v>
      </c>
      <c r="M289" t="s">
        <v>185</v>
      </c>
      <c r="N289" t="s">
        <v>186</v>
      </c>
      <c r="O289" s="34" t="s">
        <v>434</v>
      </c>
      <c r="P289" t="s">
        <v>187</v>
      </c>
      <c r="Q289" t="s">
        <v>23</v>
      </c>
      <c r="R289" t="s">
        <v>23</v>
      </c>
      <c r="S289" t="s">
        <v>25</v>
      </c>
      <c r="T289" t="str">
        <f>_xlfn.XLOOKUP(Tabela14[[#This Row],[Categoria]],CATEGORIAS!$C:$C,CATEGORIAS!$D:$D,"")</f>
        <v>2.1 Despesas Diretas</v>
      </c>
    </row>
    <row r="290" spans="4:20" x14ac:dyDescent="0.25">
      <c r="D290" s="1">
        <v>46234</v>
      </c>
      <c r="E290" s="1">
        <v>46234</v>
      </c>
      <c r="F290" s="17">
        <v>46234</v>
      </c>
      <c r="G290" t="s">
        <v>184</v>
      </c>
      <c r="H290" t="s">
        <v>27</v>
      </c>
      <c r="I290" t="s">
        <v>106</v>
      </c>
      <c r="J290" s="30">
        <v>-1682.24</v>
      </c>
      <c r="K290" s="30">
        <v>0</v>
      </c>
      <c r="L290" s="33">
        <v>-1682.24</v>
      </c>
      <c r="M290" t="s">
        <v>185</v>
      </c>
      <c r="N290" t="s">
        <v>186</v>
      </c>
      <c r="O290" s="34" t="s">
        <v>430</v>
      </c>
      <c r="P290" t="s">
        <v>187</v>
      </c>
      <c r="Q290" t="s">
        <v>23</v>
      </c>
      <c r="R290" t="s">
        <v>23</v>
      </c>
      <c r="S290" t="s">
        <v>25</v>
      </c>
      <c r="T290" t="str">
        <f>_xlfn.XLOOKUP(Tabela14[[#This Row],[Categoria]],CATEGORIAS!$C:$C,CATEGORIAS!$D:$D,"")</f>
        <v>2.1 Despesas Diretas</v>
      </c>
    </row>
    <row r="291" spans="4:20" x14ac:dyDescent="0.25">
      <c r="D291" s="1">
        <v>46220</v>
      </c>
      <c r="E291" s="1">
        <v>46220</v>
      </c>
      <c r="F291" s="17">
        <v>46220</v>
      </c>
      <c r="G291" t="s">
        <v>184</v>
      </c>
      <c r="H291" t="s">
        <v>27</v>
      </c>
      <c r="I291" t="s">
        <v>94</v>
      </c>
      <c r="J291" s="30">
        <v>-636.79999999999995</v>
      </c>
      <c r="K291" s="30">
        <v>0</v>
      </c>
      <c r="L291" s="33">
        <v>-636.79999999999995</v>
      </c>
      <c r="M291" t="s">
        <v>185</v>
      </c>
      <c r="N291" s="39" t="s">
        <v>190</v>
      </c>
      <c r="O291" s="34" t="s">
        <v>459</v>
      </c>
      <c r="P291" t="s">
        <v>187</v>
      </c>
      <c r="Q291" t="s">
        <v>23</v>
      </c>
      <c r="R291" t="s">
        <v>23</v>
      </c>
      <c r="S291" t="s">
        <v>25</v>
      </c>
      <c r="T291" t="str">
        <f>_xlfn.XLOOKUP(Tabela14[[#This Row],[Categoria]],CATEGORIAS!$C:$C,CATEGORIAS!$D:$D,"")</f>
        <v>2.1 Despesas Diretas</v>
      </c>
    </row>
    <row r="292" spans="4:20" x14ac:dyDescent="0.25">
      <c r="D292" s="1">
        <v>46220</v>
      </c>
      <c r="E292" s="1">
        <v>46220</v>
      </c>
      <c r="F292" s="17">
        <v>46220</v>
      </c>
      <c r="G292" t="s">
        <v>184</v>
      </c>
      <c r="H292" t="s">
        <v>27</v>
      </c>
      <c r="I292" t="s">
        <v>90</v>
      </c>
      <c r="J292" s="30">
        <v>-466.24</v>
      </c>
      <c r="K292" s="30">
        <v>0</v>
      </c>
      <c r="L292" s="33">
        <v>-466.24</v>
      </c>
      <c r="M292" t="s">
        <v>185</v>
      </c>
      <c r="N292" s="39" t="s">
        <v>190</v>
      </c>
      <c r="O292" s="34" t="s">
        <v>460</v>
      </c>
      <c r="P292" t="s">
        <v>187</v>
      </c>
      <c r="Q292" t="s">
        <v>23</v>
      </c>
      <c r="R292" t="s">
        <v>23</v>
      </c>
      <c r="S292" t="s">
        <v>25</v>
      </c>
      <c r="T292" t="str">
        <f>_xlfn.XLOOKUP(Tabela14[[#This Row],[Categoria]],CATEGORIAS!$C:$C,CATEGORIAS!$D:$D,"")</f>
        <v>2.1 Despesas Diretas</v>
      </c>
    </row>
    <row r="293" spans="4:20" x14ac:dyDescent="0.25">
      <c r="D293" s="1">
        <v>46220</v>
      </c>
      <c r="E293" s="1">
        <v>46220</v>
      </c>
      <c r="F293" s="17">
        <v>46220</v>
      </c>
      <c r="G293" t="s">
        <v>184</v>
      </c>
      <c r="H293" t="s">
        <v>27</v>
      </c>
      <c r="I293" t="s">
        <v>90</v>
      </c>
      <c r="J293" s="30">
        <v>-144</v>
      </c>
      <c r="K293" s="30">
        <v>0</v>
      </c>
      <c r="L293" s="33">
        <v>-144</v>
      </c>
      <c r="M293" t="s">
        <v>185</v>
      </c>
      <c r="N293" s="39" t="s">
        <v>190</v>
      </c>
      <c r="O293" s="34" t="s">
        <v>461</v>
      </c>
      <c r="P293" t="s">
        <v>187</v>
      </c>
      <c r="Q293" t="s">
        <v>23</v>
      </c>
      <c r="R293" t="s">
        <v>23</v>
      </c>
      <c r="S293" t="s">
        <v>25</v>
      </c>
      <c r="T293" t="str">
        <f>_xlfn.XLOOKUP(Tabela14[[#This Row],[Categoria]],CATEGORIAS!$C:$C,CATEGORIAS!$D:$D,"")</f>
        <v>2.1 Despesas Diretas</v>
      </c>
    </row>
    <row r="294" spans="4:20" x14ac:dyDescent="0.25">
      <c r="D294" s="1">
        <v>46220</v>
      </c>
      <c r="E294" s="1">
        <v>46220</v>
      </c>
      <c r="F294" s="17">
        <v>46220</v>
      </c>
      <c r="G294" t="s">
        <v>184</v>
      </c>
      <c r="H294" t="s">
        <v>27</v>
      </c>
      <c r="I294" t="s">
        <v>107</v>
      </c>
      <c r="J294" s="30">
        <v>-8319.0400000000009</v>
      </c>
      <c r="K294" s="30">
        <v>0</v>
      </c>
      <c r="L294" s="33">
        <v>-8319.0400000000009</v>
      </c>
      <c r="M294" t="s">
        <v>185</v>
      </c>
      <c r="N294" s="39" t="s">
        <v>190</v>
      </c>
      <c r="O294" s="34" t="s">
        <v>462</v>
      </c>
      <c r="P294" t="s">
        <v>187</v>
      </c>
      <c r="Q294" t="s">
        <v>23</v>
      </c>
      <c r="R294" t="s">
        <v>23</v>
      </c>
      <c r="S294" t="s">
        <v>25</v>
      </c>
      <c r="T294" t="str">
        <f>_xlfn.XLOOKUP(Tabela14[[#This Row],[Categoria]],CATEGORIAS!$C:$C,CATEGORIAS!$D:$D,"")</f>
        <v>2.1 Despesas Diretas</v>
      </c>
    </row>
    <row r="295" spans="4:20" x14ac:dyDescent="0.25">
      <c r="D295" s="1">
        <v>46220</v>
      </c>
      <c r="E295" s="1">
        <v>46220</v>
      </c>
      <c r="F295" s="17">
        <v>46220</v>
      </c>
      <c r="G295" t="s">
        <v>184</v>
      </c>
      <c r="H295" t="s">
        <v>27</v>
      </c>
      <c r="I295" t="s">
        <v>90</v>
      </c>
      <c r="J295" s="30">
        <v>-114.24</v>
      </c>
      <c r="K295" s="30">
        <v>0</v>
      </c>
      <c r="L295" s="33">
        <v>-114.24</v>
      </c>
      <c r="M295" t="s">
        <v>185</v>
      </c>
      <c r="N295" s="39" t="s">
        <v>190</v>
      </c>
      <c r="O295" s="34" t="s">
        <v>463</v>
      </c>
      <c r="P295" t="s">
        <v>187</v>
      </c>
      <c r="Q295" t="s">
        <v>23</v>
      </c>
      <c r="R295" t="s">
        <v>23</v>
      </c>
      <c r="S295" t="s">
        <v>25</v>
      </c>
      <c r="T295" t="str">
        <f>_xlfn.XLOOKUP(Tabela14[[#This Row],[Categoria]],CATEGORIAS!$C:$C,CATEGORIAS!$D:$D,"")</f>
        <v>2.1 Despesas Diretas</v>
      </c>
    </row>
    <row r="296" spans="4:20" x14ac:dyDescent="0.25">
      <c r="D296" s="1">
        <v>46220</v>
      </c>
      <c r="E296" s="1">
        <v>46220</v>
      </c>
      <c r="F296" s="17">
        <v>46220</v>
      </c>
      <c r="G296" t="s">
        <v>184</v>
      </c>
      <c r="H296" t="s">
        <v>27</v>
      </c>
      <c r="I296" t="s">
        <v>90</v>
      </c>
      <c r="J296" s="30">
        <v>-229.44</v>
      </c>
      <c r="K296" s="30">
        <v>0</v>
      </c>
      <c r="L296" s="33">
        <v>-229.44</v>
      </c>
      <c r="M296" t="s">
        <v>185</v>
      </c>
      <c r="N296" s="39" t="s">
        <v>190</v>
      </c>
      <c r="O296" s="34" t="s">
        <v>464</v>
      </c>
      <c r="P296" t="s">
        <v>187</v>
      </c>
      <c r="Q296" t="s">
        <v>23</v>
      </c>
      <c r="R296" t="s">
        <v>23</v>
      </c>
      <c r="S296" t="s">
        <v>25</v>
      </c>
      <c r="T296" t="str">
        <f>_xlfn.XLOOKUP(Tabela14[[#This Row],[Categoria]],CATEGORIAS!$C:$C,CATEGORIAS!$D:$D,"")</f>
        <v>2.1 Despesas Diretas</v>
      </c>
    </row>
    <row r="297" spans="4:20" x14ac:dyDescent="0.25">
      <c r="D297" s="1">
        <v>46192</v>
      </c>
      <c r="E297" s="1">
        <v>46192</v>
      </c>
      <c r="F297" s="17">
        <v>46192</v>
      </c>
      <c r="G297" t="s">
        <v>184</v>
      </c>
      <c r="H297" t="s">
        <v>27</v>
      </c>
      <c r="I297" t="s">
        <v>94</v>
      </c>
      <c r="J297" s="30">
        <v>-636.79999999999995</v>
      </c>
      <c r="K297" s="30">
        <v>0</v>
      </c>
      <c r="L297" s="33">
        <v>-636.79999999999995</v>
      </c>
      <c r="M297" t="s">
        <v>185</v>
      </c>
      <c r="N297" s="39" t="s">
        <v>190</v>
      </c>
      <c r="O297" s="34" t="s">
        <v>459</v>
      </c>
      <c r="P297" t="s">
        <v>187</v>
      </c>
      <c r="Q297" t="s">
        <v>23</v>
      </c>
      <c r="R297" t="s">
        <v>23</v>
      </c>
      <c r="S297" t="s">
        <v>25</v>
      </c>
      <c r="T297" t="str">
        <f>_xlfn.XLOOKUP(Tabela14[[#This Row],[Categoria]],CATEGORIAS!$C:$C,CATEGORIAS!$D:$D,"")</f>
        <v>2.1 Despesas Diretas</v>
      </c>
    </row>
    <row r="298" spans="4:20" x14ac:dyDescent="0.25">
      <c r="D298" s="1">
        <v>46192</v>
      </c>
      <c r="E298" s="1">
        <v>46192</v>
      </c>
      <c r="F298" s="17">
        <v>46192</v>
      </c>
      <c r="G298" t="s">
        <v>184</v>
      </c>
      <c r="H298" t="s">
        <v>27</v>
      </c>
      <c r="I298" t="s">
        <v>90</v>
      </c>
      <c r="J298" s="30">
        <v>-144</v>
      </c>
      <c r="K298" s="30">
        <v>0</v>
      </c>
      <c r="L298" s="33">
        <v>-144</v>
      </c>
      <c r="M298" t="s">
        <v>185</v>
      </c>
      <c r="N298" s="39" t="s">
        <v>190</v>
      </c>
      <c r="O298" s="34" t="s">
        <v>461</v>
      </c>
      <c r="P298" t="s">
        <v>187</v>
      </c>
      <c r="Q298" t="s">
        <v>23</v>
      </c>
      <c r="R298" t="s">
        <v>23</v>
      </c>
      <c r="S298" t="s">
        <v>25</v>
      </c>
      <c r="T298" t="str">
        <f>_xlfn.XLOOKUP(Tabela14[[#This Row],[Categoria]],CATEGORIAS!$C:$C,CATEGORIAS!$D:$D,"")</f>
        <v>2.1 Despesas Diretas</v>
      </c>
    </row>
    <row r="299" spans="4:20" x14ac:dyDescent="0.25">
      <c r="D299" s="1">
        <v>46192</v>
      </c>
      <c r="E299" s="1">
        <v>46192</v>
      </c>
      <c r="F299" s="17">
        <v>46192</v>
      </c>
      <c r="G299" t="s">
        <v>184</v>
      </c>
      <c r="H299" t="s">
        <v>27</v>
      </c>
      <c r="I299" t="s">
        <v>90</v>
      </c>
      <c r="J299" s="30">
        <v>-114.24</v>
      </c>
      <c r="K299" s="30">
        <v>0</v>
      </c>
      <c r="L299" s="33">
        <v>-114.24</v>
      </c>
      <c r="M299" t="s">
        <v>185</v>
      </c>
      <c r="N299" s="39" t="s">
        <v>190</v>
      </c>
      <c r="O299" s="34" t="s">
        <v>463</v>
      </c>
      <c r="P299" t="s">
        <v>187</v>
      </c>
      <c r="Q299" t="s">
        <v>23</v>
      </c>
      <c r="R299" t="s">
        <v>23</v>
      </c>
      <c r="S299" t="s">
        <v>25</v>
      </c>
      <c r="T299" t="str">
        <f>_xlfn.XLOOKUP(Tabela14[[#This Row],[Categoria]],CATEGORIAS!$C:$C,CATEGORIAS!$D:$D,"")</f>
        <v>2.1 Despesas Diretas</v>
      </c>
    </row>
    <row r="300" spans="4:20" x14ac:dyDescent="0.25">
      <c r="D300" s="1">
        <v>46192</v>
      </c>
      <c r="E300" s="1">
        <v>46192</v>
      </c>
      <c r="F300" s="17">
        <v>46192</v>
      </c>
      <c r="G300" t="s">
        <v>184</v>
      </c>
      <c r="H300" t="s">
        <v>27</v>
      </c>
      <c r="I300" t="s">
        <v>107</v>
      </c>
      <c r="J300" s="30">
        <v>-8319.0400000000009</v>
      </c>
      <c r="K300" s="30">
        <v>0</v>
      </c>
      <c r="L300" s="33">
        <v>-8319.0400000000009</v>
      </c>
      <c r="M300" t="s">
        <v>185</v>
      </c>
      <c r="N300" s="39" t="s">
        <v>190</v>
      </c>
      <c r="O300" s="34" t="s">
        <v>462</v>
      </c>
      <c r="P300" t="s">
        <v>187</v>
      </c>
      <c r="Q300" t="s">
        <v>23</v>
      </c>
      <c r="R300" t="s">
        <v>23</v>
      </c>
      <c r="S300" t="s">
        <v>25</v>
      </c>
      <c r="T300" t="str">
        <f>_xlfn.XLOOKUP(Tabela14[[#This Row],[Categoria]],CATEGORIAS!$C:$C,CATEGORIAS!$D:$D,"")</f>
        <v>2.1 Despesas Diretas</v>
      </c>
    </row>
    <row r="301" spans="4:20" x14ac:dyDescent="0.25">
      <c r="D301" s="1">
        <v>46192</v>
      </c>
      <c r="E301" s="1">
        <v>46192</v>
      </c>
      <c r="F301" s="17">
        <v>46192</v>
      </c>
      <c r="G301" t="s">
        <v>184</v>
      </c>
      <c r="H301" t="s">
        <v>27</v>
      </c>
      <c r="I301" t="s">
        <v>90</v>
      </c>
      <c r="J301" s="30">
        <v>-229.44</v>
      </c>
      <c r="K301" s="30">
        <v>0</v>
      </c>
      <c r="L301" s="33">
        <v>-229.44</v>
      </c>
      <c r="M301" t="s">
        <v>185</v>
      </c>
      <c r="N301" s="39" t="s">
        <v>190</v>
      </c>
      <c r="O301" s="34" t="s">
        <v>464</v>
      </c>
      <c r="P301" t="s">
        <v>187</v>
      </c>
      <c r="Q301" t="s">
        <v>23</v>
      </c>
      <c r="R301" t="s">
        <v>23</v>
      </c>
      <c r="S301" t="s">
        <v>25</v>
      </c>
      <c r="T301" t="str">
        <f>_xlfn.XLOOKUP(Tabela14[[#This Row],[Categoria]],CATEGORIAS!$C:$C,CATEGORIAS!$D:$D,"")</f>
        <v>2.1 Despesas Diretas</v>
      </c>
    </row>
    <row r="302" spans="4:20" x14ac:dyDescent="0.25">
      <c r="D302" s="1">
        <v>46192</v>
      </c>
      <c r="E302" s="1">
        <v>46192</v>
      </c>
      <c r="F302" s="17">
        <v>46192</v>
      </c>
      <c r="G302" t="s">
        <v>184</v>
      </c>
      <c r="H302" t="s">
        <v>27</v>
      </c>
      <c r="I302" t="s">
        <v>90</v>
      </c>
      <c r="J302" s="30">
        <v>-466.24</v>
      </c>
      <c r="K302" s="30">
        <v>0</v>
      </c>
      <c r="L302" s="33">
        <v>-466.24</v>
      </c>
      <c r="M302" t="s">
        <v>185</v>
      </c>
      <c r="N302" s="39" t="s">
        <v>190</v>
      </c>
      <c r="O302" s="34" t="s">
        <v>460</v>
      </c>
      <c r="P302" t="s">
        <v>187</v>
      </c>
      <c r="Q302" t="s">
        <v>23</v>
      </c>
      <c r="R302" t="s">
        <v>23</v>
      </c>
      <c r="S302" t="s">
        <v>25</v>
      </c>
      <c r="T302" t="str">
        <f>_xlfn.XLOOKUP(Tabela14[[#This Row],[Categoria]],CATEGORIAS!$C:$C,CATEGORIAS!$D:$D,"")</f>
        <v>2.1 Despesas Diretas</v>
      </c>
    </row>
    <row r="303" spans="4:20" x14ac:dyDescent="0.25">
      <c r="D303" s="1">
        <v>46098</v>
      </c>
      <c r="E303" s="1">
        <v>46098</v>
      </c>
      <c r="F303" s="17">
        <v>46098</v>
      </c>
      <c r="G303" t="s">
        <v>257</v>
      </c>
      <c r="H303" t="s">
        <v>27</v>
      </c>
      <c r="I303" t="s">
        <v>91</v>
      </c>
      <c r="J303" s="30">
        <v>-2000</v>
      </c>
      <c r="K303" s="30">
        <v>-2000</v>
      </c>
      <c r="L303" s="33">
        <v>0</v>
      </c>
      <c r="M303" t="s">
        <v>238</v>
      </c>
      <c r="N303" t="s">
        <v>208</v>
      </c>
      <c r="O303" s="34" t="s">
        <v>313</v>
      </c>
      <c r="P303" t="s">
        <v>187</v>
      </c>
      <c r="Q303" t="s">
        <v>23</v>
      </c>
      <c r="R303" t="s">
        <v>314</v>
      </c>
      <c r="S303" t="s">
        <v>25</v>
      </c>
      <c r="T303" t="str">
        <f>_xlfn.XLOOKUP(Tabela14[[#This Row],[Categoria]],CATEGORIAS!$C:$C,CATEGORIAS!$D:$D,"")</f>
        <v>2.1 Despesas Diretas</v>
      </c>
    </row>
    <row r="304" spans="4:20" x14ac:dyDescent="0.25">
      <c r="D304" s="1">
        <v>46122</v>
      </c>
      <c r="E304" s="1">
        <v>46122</v>
      </c>
      <c r="F304" s="17">
        <v>46129</v>
      </c>
      <c r="G304" t="s">
        <v>184</v>
      </c>
      <c r="H304" t="s">
        <v>27</v>
      </c>
      <c r="I304" t="s">
        <v>97</v>
      </c>
      <c r="J304" s="30">
        <v>-825.79</v>
      </c>
      <c r="K304" s="30">
        <v>0</v>
      </c>
      <c r="L304" s="33">
        <v>-825.79</v>
      </c>
      <c r="M304" t="s">
        <v>185</v>
      </c>
      <c r="N304" t="s">
        <v>208</v>
      </c>
      <c r="O304" s="34" t="s">
        <v>465</v>
      </c>
      <c r="P304" t="s">
        <v>187</v>
      </c>
      <c r="Q304" t="s">
        <v>23</v>
      </c>
      <c r="R304" t="s">
        <v>23</v>
      </c>
      <c r="S304" t="s">
        <v>25</v>
      </c>
      <c r="T304" t="str">
        <f>_xlfn.XLOOKUP(Tabela14[[#This Row],[Categoria]],CATEGORIAS!$C:$C,CATEGORIAS!$D:$D,"")</f>
        <v>2.1 Despesas Diretas</v>
      </c>
    </row>
    <row r="305" spans="2:20" x14ac:dyDescent="0.25">
      <c r="D305" s="1">
        <v>46122</v>
      </c>
      <c r="E305" s="1">
        <v>46122</v>
      </c>
      <c r="F305" s="17">
        <v>46129</v>
      </c>
      <c r="G305" t="s">
        <v>184</v>
      </c>
      <c r="H305" t="s">
        <v>27</v>
      </c>
      <c r="I305" t="s">
        <v>99</v>
      </c>
      <c r="J305" s="31">
        <v>-933.5</v>
      </c>
      <c r="K305" s="30">
        <v>0</v>
      </c>
      <c r="L305" s="33">
        <v>-933.5</v>
      </c>
      <c r="M305" t="s">
        <v>185</v>
      </c>
      <c r="N305" t="s">
        <v>208</v>
      </c>
      <c r="O305" s="34" t="s">
        <v>466</v>
      </c>
      <c r="P305" t="s">
        <v>187</v>
      </c>
      <c r="Q305" t="s">
        <v>23</v>
      </c>
      <c r="R305" t="s">
        <v>23</v>
      </c>
      <c r="S305" t="s">
        <v>25</v>
      </c>
      <c r="T305" t="str">
        <f>_xlfn.XLOOKUP(Tabela14[[#This Row],[Categoria]],CATEGORIAS!$C:$C,CATEGORIAS!$D:$D,"")</f>
        <v>2.1 Despesas Diretas</v>
      </c>
    </row>
    <row r="306" spans="2:20" x14ac:dyDescent="0.25">
      <c r="D306" s="1">
        <v>46122</v>
      </c>
      <c r="E306" s="1">
        <v>46122</v>
      </c>
      <c r="F306" s="17">
        <v>46129</v>
      </c>
      <c r="G306" t="s">
        <v>184</v>
      </c>
      <c r="H306" t="s">
        <v>27</v>
      </c>
      <c r="I306" t="s">
        <v>97</v>
      </c>
      <c r="J306" s="30">
        <v>-1645.06</v>
      </c>
      <c r="K306" s="30">
        <v>0</v>
      </c>
      <c r="L306" s="33">
        <v>-1645.06</v>
      </c>
      <c r="M306" t="s">
        <v>185</v>
      </c>
      <c r="N306" t="s">
        <v>208</v>
      </c>
      <c r="O306" s="34" t="s">
        <v>467</v>
      </c>
      <c r="P306" t="s">
        <v>187</v>
      </c>
      <c r="Q306" t="s">
        <v>23</v>
      </c>
      <c r="R306" t="s">
        <v>23</v>
      </c>
      <c r="S306" t="s">
        <v>25</v>
      </c>
      <c r="T306" t="str">
        <f>_xlfn.XLOOKUP(Tabela14[[#This Row],[Categoria]],CATEGORIAS!$C:$C,CATEGORIAS!$D:$D,"")</f>
        <v>2.1 Despesas Diretas</v>
      </c>
    </row>
    <row r="307" spans="2:20" x14ac:dyDescent="0.25">
      <c r="D307" s="1">
        <v>46108</v>
      </c>
      <c r="E307" s="1">
        <v>46108</v>
      </c>
      <c r="F307" s="17">
        <v>46098</v>
      </c>
      <c r="G307" t="s">
        <v>287</v>
      </c>
      <c r="H307" t="s">
        <v>27</v>
      </c>
      <c r="I307" t="s">
        <v>93</v>
      </c>
      <c r="J307" s="31">
        <v>-10000</v>
      </c>
      <c r="K307" s="31">
        <v>-10000</v>
      </c>
      <c r="L307" s="33">
        <v>0</v>
      </c>
      <c r="M307" t="s">
        <v>238</v>
      </c>
      <c r="N307" t="s">
        <v>208</v>
      </c>
      <c r="O307" s="34" t="s">
        <v>316</v>
      </c>
      <c r="P307" t="s">
        <v>187</v>
      </c>
      <c r="Q307" t="s">
        <v>23</v>
      </c>
      <c r="R307" t="s">
        <v>217</v>
      </c>
      <c r="S307" t="s">
        <v>25</v>
      </c>
      <c r="T307" t="str">
        <f>_xlfn.XLOOKUP(Tabela14[[#This Row],[Categoria]],CATEGORIAS!$C:$C,CATEGORIAS!$D:$D,"")</f>
        <v>2.1 Despesas Diretas</v>
      </c>
    </row>
    <row r="308" spans="2:20" x14ac:dyDescent="0.25">
      <c r="D308" s="1">
        <v>46108</v>
      </c>
      <c r="E308" s="1">
        <v>46108</v>
      </c>
      <c r="F308" s="17">
        <v>46101</v>
      </c>
      <c r="G308" t="s">
        <v>184</v>
      </c>
      <c r="H308" t="s">
        <v>27</v>
      </c>
      <c r="I308" t="s">
        <v>91</v>
      </c>
      <c r="J308" s="30">
        <v>-13324</v>
      </c>
      <c r="K308" s="30">
        <v>0</v>
      </c>
      <c r="L308" s="33">
        <v>-25600</v>
      </c>
      <c r="M308" t="s">
        <v>185</v>
      </c>
      <c r="N308" t="s">
        <v>208</v>
      </c>
      <c r="O308" s="34" t="s">
        <v>468</v>
      </c>
      <c r="P308" t="s">
        <v>187</v>
      </c>
      <c r="Q308" t="s">
        <v>23</v>
      </c>
      <c r="R308" t="s">
        <v>222</v>
      </c>
      <c r="S308" t="s">
        <v>25</v>
      </c>
      <c r="T308" t="str">
        <f>_xlfn.XLOOKUP(Tabela14[[#This Row],[Categoria]],CATEGORIAS!$C:$C,CATEGORIAS!$D:$D,"")</f>
        <v>2.1 Despesas Diretas</v>
      </c>
    </row>
    <row r="309" spans="2:20" x14ac:dyDescent="0.25">
      <c r="D309" s="1">
        <v>46122</v>
      </c>
      <c r="E309" s="1">
        <v>46122</v>
      </c>
      <c r="F309" s="17">
        <v>46117</v>
      </c>
      <c r="G309" t="s">
        <v>184</v>
      </c>
      <c r="H309" t="s">
        <v>27</v>
      </c>
      <c r="I309" t="s">
        <v>91</v>
      </c>
      <c r="J309" s="31">
        <v>-32000</v>
      </c>
      <c r="K309" s="30">
        <v>0</v>
      </c>
      <c r="L309" s="33">
        <v>-32000</v>
      </c>
      <c r="M309" t="s">
        <v>185</v>
      </c>
      <c r="N309" t="s">
        <v>208</v>
      </c>
      <c r="O309" s="34" t="s">
        <v>468</v>
      </c>
      <c r="P309" t="s">
        <v>187</v>
      </c>
      <c r="Q309" t="s">
        <v>23</v>
      </c>
      <c r="R309" t="s">
        <v>23</v>
      </c>
      <c r="S309" t="s">
        <v>25</v>
      </c>
      <c r="T309" t="str">
        <f>_xlfn.XLOOKUP(Tabela14[[#This Row],[Categoria]],CATEGORIAS!$C:$C,CATEGORIAS!$D:$D,"")</f>
        <v>2.1 Despesas Diretas</v>
      </c>
    </row>
    <row r="310" spans="2:20" x14ac:dyDescent="0.25">
      <c r="D310" s="1">
        <v>46122</v>
      </c>
      <c r="E310" s="1">
        <v>46122</v>
      </c>
      <c r="F310" s="17">
        <v>46106</v>
      </c>
      <c r="G310" t="s">
        <v>184</v>
      </c>
      <c r="H310" t="s">
        <v>27</v>
      </c>
      <c r="I310" t="s">
        <v>98</v>
      </c>
      <c r="J310" s="31">
        <v>-1600</v>
      </c>
      <c r="K310" s="31">
        <v>0</v>
      </c>
      <c r="L310" s="33">
        <v>-1600</v>
      </c>
      <c r="M310" t="s">
        <v>185</v>
      </c>
      <c r="N310" t="s">
        <v>208</v>
      </c>
      <c r="O310" s="34" t="s">
        <v>469</v>
      </c>
      <c r="P310" t="s">
        <v>187</v>
      </c>
      <c r="Q310" t="s">
        <v>23</v>
      </c>
      <c r="R310" t="s">
        <v>23</v>
      </c>
      <c r="S310" t="s">
        <v>25</v>
      </c>
      <c r="T310" t="str">
        <f>_xlfn.XLOOKUP(Tabela14[[#This Row],[Categoria]],CATEGORIAS!$C:$C,CATEGORIAS!$D:$D,"")</f>
        <v>2.1 Despesas Diretas</v>
      </c>
    </row>
    <row r="311" spans="2:20" x14ac:dyDescent="0.25">
      <c r="D311" s="1">
        <v>46122</v>
      </c>
      <c r="E311" s="1">
        <v>46122</v>
      </c>
      <c r="F311" s="17">
        <v>46106</v>
      </c>
      <c r="G311" t="s">
        <v>184</v>
      </c>
      <c r="H311" t="s">
        <v>27</v>
      </c>
      <c r="I311" t="s">
        <v>96</v>
      </c>
      <c r="J311" s="31">
        <v>-2240</v>
      </c>
      <c r="K311" s="31">
        <v>0</v>
      </c>
      <c r="L311" s="33">
        <v>-3840</v>
      </c>
      <c r="M311" t="s">
        <v>185</v>
      </c>
      <c r="N311" t="s">
        <v>208</v>
      </c>
      <c r="O311" s="34" t="s">
        <v>470</v>
      </c>
      <c r="P311" t="s">
        <v>187</v>
      </c>
      <c r="Q311" t="s">
        <v>23</v>
      </c>
      <c r="R311" t="s">
        <v>23</v>
      </c>
      <c r="S311" t="s">
        <v>25</v>
      </c>
      <c r="T311" t="str">
        <f>_xlfn.XLOOKUP(Tabela14[[#This Row],[Categoria]],CATEGORIAS!$C:$C,CATEGORIAS!$D:$D,"")</f>
        <v>2.1 Despesas Diretas</v>
      </c>
    </row>
    <row r="312" spans="2:20" x14ac:dyDescent="0.25">
      <c r="D312" s="1">
        <v>46093</v>
      </c>
      <c r="E312" s="1">
        <v>46093</v>
      </c>
      <c r="F312" s="17">
        <v>46159</v>
      </c>
      <c r="G312" t="s">
        <v>18</v>
      </c>
      <c r="H312" t="s">
        <v>27</v>
      </c>
      <c r="I312" t="s">
        <v>99</v>
      </c>
      <c r="J312" s="30">
        <v>-1140.42</v>
      </c>
      <c r="K312" s="30">
        <v>0</v>
      </c>
      <c r="L312" s="33">
        <v>-1140.42</v>
      </c>
      <c r="M312" t="s">
        <v>212</v>
      </c>
      <c r="N312" t="s">
        <v>208</v>
      </c>
      <c r="O312" s="34" t="s">
        <v>301</v>
      </c>
      <c r="P312" t="s">
        <v>213</v>
      </c>
      <c r="Q312" t="s">
        <v>23</v>
      </c>
      <c r="R312" t="s">
        <v>23</v>
      </c>
      <c r="S312" t="s">
        <v>25</v>
      </c>
      <c r="T312" t="str">
        <f>_xlfn.XLOOKUP(Tabela14[[#This Row],[Categoria]],CATEGORIAS!$C:$C,CATEGORIAS!$D:$D,"")</f>
        <v>2.1 Despesas Diretas</v>
      </c>
    </row>
    <row r="313" spans="2:20" x14ac:dyDescent="0.25">
      <c r="B313"/>
      <c r="C313"/>
      <c r="D313" s="1">
        <v>46122</v>
      </c>
      <c r="E313" s="1">
        <v>46122</v>
      </c>
      <c r="F313" s="17">
        <v>46140</v>
      </c>
      <c r="G313" t="s">
        <v>298</v>
      </c>
      <c r="H313" t="s">
        <v>27</v>
      </c>
      <c r="I313" t="s">
        <v>94</v>
      </c>
      <c r="J313" s="31">
        <v>-199.6</v>
      </c>
      <c r="K313" s="31">
        <v>0</v>
      </c>
      <c r="L313" s="33">
        <v>-199.6</v>
      </c>
      <c r="M313" t="s">
        <v>185</v>
      </c>
      <c r="N313" t="s">
        <v>208</v>
      </c>
      <c r="O313" s="34" t="s">
        <v>471</v>
      </c>
      <c r="P313" t="s">
        <v>187</v>
      </c>
      <c r="Q313" t="s">
        <v>23</v>
      </c>
      <c r="R313" t="s">
        <v>23</v>
      </c>
      <c r="S313" t="s">
        <v>25</v>
      </c>
      <c r="T313" t="str">
        <f>_xlfn.XLOOKUP(Tabela14[[#This Row],[Categoria]],CATEGORIAS!$C:$C,CATEGORIAS!$D:$D,"")</f>
        <v>2.1 Despesas Diretas</v>
      </c>
    </row>
    <row r="314" spans="2:20" x14ac:dyDescent="0.25">
      <c r="D314" s="1">
        <v>46122</v>
      </c>
      <c r="E314" s="1">
        <v>46122</v>
      </c>
      <c r="F314" s="17">
        <v>46140</v>
      </c>
      <c r="G314" t="s">
        <v>184</v>
      </c>
      <c r="H314" t="s">
        <v>27</v>
      </c>
      <c r="I314" t="s">
        <v>94</v>
      </c>
      <c r="J314" s="31">
        <v>-486.34</v>
      </c>
      <c r="K314" s="31">
        <v>0</v>
      </c>
      <c r="L314" s="33">
        <v>-486.34</v>
      </c>
      <c r="M314" t="s">
        <v>185</v>
      </c>
      <c r="N314" t="s">
        <v>208</v>
      </c>
      <c r="O314" s="34" t="s">
        <v>319</v>
      </c>
      <c r="P314" t="s">
        <v>187</v>
      </c>
      <c r="Q314" t="s">
        <v>23</v>
      </c>
      <c r="R314" t="s">
        <v>23</v>
      </c>
      <c r="S314" t="s">
        <v>25</v>
      </c>
      <c r="T314" t="str">
        <f>_xlfn.XLOOKUP(Tabela14[[#This Row],[Categoria]],CATEGORIAS!$C:$C,CATEGORIAS!$D:$D,"")</f>
        <v>2.1 Despesas Diretas</v>
      </c>
    </row>
    <row r="315" spans="2:20" x14ac:dyDescent="0.25">
      <c r="D315" s="1">
        <v>46136</v>
      </c>
      <c r="E315" s="1">
        <v>46136</v>
      </c>
      <c r="F315" s="17">
        <v>46154</v>
      </c>
      <c r="G315" t="s">
        <v>184</v>
      </c>
      <c r="H315" t="s">
        <v>27</v>
      </c>
      <c r="I315" t="s">
        <v>96</v>
      </c>
      <c r="J315" s="30">
        <v>-2240</v>
      </c>
      <c r="K315" s="30">
        <v>0</v>
      </c>
      <c r="L315" s="33">
        <v>-3840</v>
      </c>
      <c r="M315" t="s">
        <v>185</v>
      </c>
      <c r="N315" t="s">
        <v>208</v>
      </c>
      <c r="O315" s="34" t="s">
        <v>470</v>
      </c>
      <c r="P315" t="s">
        <v>187</v>
      </c>
      <c r="Q315" t="s">
        <v>23</v>
      </c>
      <c r="R315" t="s">
        <v>23</v>
      </c>
      <c r="S315" t="s">
        <v>25</v>
      </c>
      <c r="T315" t="str">
        <f>_xlfn.XLOOKUP(Tabela14[[#This Row],[Categoria]],CATEGORIAS!$C:$C,CATEGORIAS!$D:$D,"")</f>
        <v>2.1 Despesas Diretas</v>
      </c>
    </row>
    <row r="316" spans="2:20" x14ac:dyDescent="0.25">
      <c r="D316" s="1">
        <v>46122</v>
      </c>
      <c r="E316" s="1">
        <v>46122</v>
      </c>
      <c r="F316" s="17">
        <v>46140</v>
      </c>
      <c r="G316" t="s">
        <v>298</v>
      </c>
      <c r="H316" t="s">
        <v>27</v>
      </c>
      <c r="I316" t="s">
        <v>95</v>
      </c>
      <c r="J316" s="30">
        <v>-1039.49</v>
      </c>
      <c r="K316" s="30">
        <v>0</v>
      </c>
      <c r="L316" s="33">
        <v>-1039.49</v>
      </c>
      <c r="M316" t="s">
        <v>185</v>
      </c>
      <c r="N316" t="s">
        <v>208</v>
      </c>
      <c r="O316" s="34" t="s">
        <v>292</v>
      </c>
      <c r="P316" t="s">
        <v>187</v>
      </c>
      <c r="Q316" t="s">
        <v>23</v>
      </c>
      <c r="R316" t="s">
        <v>23</v>
      </c>
      <c r="S316" t="s">
        <v>25</v>
      </c>
      <c r="T316" t="str">
        <f>_xlfn.XLOOKUP(Tabela14[[#This Row],[Categoria]],CATEGORIAS!$C:$C,CATEGORIAS!$D:$D,"")</f>
        <v>2.1 Despesas Diretas</v>
      </c>
    </row>
    <row r="317" spans="2:20" x14ac:dyDescent="0.25">
      <c r="D317" s="1">
        <v>46150</v>
      </c>
      <c r="E317" s="1">
        <v>46150</v>
      </c>
      <c r="F317" s="17">
        <v>46140</v>
      </c>
      <c r="G317" t="s">
        <v>322</v>
      </c>
      <c r="H317" t="s">
        <v>27</v>
      </c>
      <c r="I317" t="s">
        <v>95</v>
      </c>
      <c r="J317" s="30">
        <v>-12124</v>
      </c>
      <c r="K317" s="30">
        <v>0</v>
      </c>
      <c r="L317" s="33">
        <v>-25261.33</v>
      </c>
      <c r="M317" t="s">
        <v>185</v>
      </c>
      <c r="N317" t="s">
        <v>208</v>
      </c>
      <c r="O317" s="34" t="s">
        <v>320</v>
      </c>
      <c r="P317" t="s">
        <v>187</v>
      </c>
      <c r="Q317" t="s">
        <v>23</v>
      </c>
      <c r="R317" t="s">
        <v>23</v>
      </c>
      <c r="S317" t="s">
        <v>25</v>
      </c>
      <c r="T317" t="str">
        <f>_xlfn.XLOOKUP(Tabela14[[#This Row],[Categoria]],CATEGORIAS!$C:$C,CATEGORIAS!$D:$D,"")</f>
        <v>2.1 Despesas Diretas</v>
      </c>
    </row>
    <row r="318" spans="2:20" x14ac:dyDescent="0.25">
      <c r="D318" s="1">
        <v>46137</v>
      </c>
      <c r="E318" s="1">
        <v>46137</v>
      </c>
      <c r="F318" s="17">
        <v>46170</v>
      </c>
      <c r="G318" t="s">
        <v>322</v>
      </c>
      <c r="H318" t="s">
        <v>27</v>
      </c>
      <c r="I318" t="s">
        <v>95</v>
      </c>
      <c r="J318" s="31">
        <v>-13137.33</v>
      </c>
      <c r="K318" s="31">
        <v>0</v>
      </c>
      <c r="L318" s="33">
        <v>-25261.33</v>
      </c>
      <c r="M318" t="s">
        <v>185</v>
      </c>
      <c r="N318" t="s">
        <v>208</v>
      </c>
      <c r="O318" s="34" t="s">
        <v>320</v>
      </c>
      <c r="P318" t="s">
        <v>213</v>
      </c>
      <c r="Q318" t="s">
        <v>23</v>
      </c>
      <c r="R318" t="s">
        <v>23</v>
      </c>
      <c r="S318" t="s">
        <v>25</v>
      </c>
      <c r="T318" t="str">
        <f>_xlfn.XLOOKUP(Tabela14[[#This Row],[Categoria]],CATEGORIAS!$C:$C,CATEGORIAS!$D:$D,"")</f>
        <v>2.1 Despesas Diretas</v>
      </c>
    </row>
    <row r="319" spans="2:20" x14ac:dyDescent="0.25">
      <c r="D319" s="1">
        <v>46093</v>
      </c>
      <c r="E319" s="1">
        <v>46093</v>
      </c>
      <c r="F319" s="17">
        <v>46129</v>
      </c>
      <c r="G319" t="s">
        <v>18</v>
      </c>
      <c r="H319" t="s">
        <v>27</v>
      </c>
      <c r="I319" t="s">
        <v>95</v>
      </c>
      <c r="J319" s="30">
        <v>-868.4</v>
      </c>
      <c r="K319" s="30">
        <v>0</v>
      </c>
      <c r="L319" s="33">
        <v>-868.4</v>
      </c>
      <c r="M319" t="s">
        <v>212</v>
      </c>
      <c r="N319" t="s">
        <v>208</v>
      </c>
      <c r="O319" s="34" t="s">
        <v>300</v>
      </c>
      <c r="P319" t="s">
        <v>187</v>
      </c>
      <c r="Q319" t="s">
        <v>23</v>
      </c>
      <c r="R319" t="s">
        <v>23</v>
      </c>
      <c r="S319" t="s">
        <v>25</v>
      </c>
      <c r="T319" t="str">
        <f>_xlfn.XLOOKUP(Tabela14[[#This Row],[Categoria]],CATEGORIAS!$C:$C,CATEGORIAS!$D:$D,"")</f>
        <v>2.1 Despesas Diretas</v>
      </c>
    </row>
    <row r="320" spans="2:20" x14ac:dyDescent="0.25">
      <c r="D320" s="1">
        <v>46122</v>
      </c>
      <c r="E320" s="1">
        <v>46122</v>
      </c>
      <c r="F320" s="17">
        <v>46140</v>
      </c>
      <c r="G320" t="s">
        <v>298</v>
      </c>
      <c r="H320" t="s">
        <v>27</v>
      </c>
      <c r="I320" t="s">
        <v>95</v>
      </c>
      <c r="J320" s="30">
        <v>-249.15</v>
      </c>
      <c r="K320" s="30">
        <v>0</v>
      </c>
      <c r="L320" s="33">
        <v>-249.15</v>
      </c>
      <c r="M320" t="s">
        <v>185</v>
      </c>
      <c r="N320" t="s">
        <v>208</v>
      </c>
      <c r="O320" s="34" t="s">
        <v>472</v>
      </c>
      <c r="P320" t="s">
        <v>187</v>
      </c>
      <c r="Q320" t="s">
        <v>23</v>
      </c>
      <c r="R320" t="s">
        <v>23</v>
      </c>
      <c r="S320" t="s">
        <v>25</v>
      </c>
      <c r="T320" t="str">
        <f>_xlfn.XLOOKUP(Tabela14[[#This Row],[Categoria]],CATEGORIAS!$C:$C,CATEGORIAS!$D:$D,"")</f>
        <v>2.1 Despesas Diretas</v>
      </c>
    </row>
    <row r="321" spans="2:20" x14ac:dyDescent="0.25">
      <c r="D321" s="1">
        <v>46150</v>
      </c>
      <c r="E321" s="1">
        <v>46150</v>
      </c>
      <c r="F321" s="17">
        <v>46120</v>
      </c>
      <c r="G321" t="s">
        <v>184</v>
      </c>
      <c r="H321" t="s">
        <v>27</v>
      </c>
      <c r="I321" t="s">
        <v>98</v>
      </c>
      <c r="J321" s="30">
        <v>-1600</v>
      </c>
      <c r="K321" s="30">
        <v>0</v>
      </c>
      <c r="L321" s="33">
        <v>-1600</v>
      </c>
      <c r="M321" t="s">
        <v>185</v>
      </c>
      <c r="N321" t="s">
        <v>208</v>
      </c>
      <c r="O321" s="34" t="s">
        <v>469</v>
      </c>
      <c r="P321" t="s">
        <v>187</v>
      </c>
      <c r="Q321" t="s">
        <v>23</v>
      </c>
      <c r="R321" t="s">
        <v>23</v>
      </c>
      <c r="S321" t="s">
        <v>25</v>
      </c>
      <c r="T321" t="str">
        <f>_xlfn.XLOOKUP(Tabela14[[#This Row],[Categoria]],CATEGORIAS!$C:$C,CATEGORIAS!$D:$D,"")</f>
        <v>2.1 Despesas Diretas</v>
      </c>
    </row>
    <row r="322" spans="2:20" x14ac:dyDescent="0.25">
      <c r="D322" s="1">
        <v>46099</v>
      </c>
      <c r="E322" s="1">
        <v>46099</v>
      </c>
      <c r="F322" s="17">
        <v>46140</v>
      </c>
      <c r="G322" t="s">
        <v>306</v>
      </c>
      <c r="H322" t="s">
        <v>27</v>
      </c>
      <c r="I322" t="s">
        <v>95</v>
      </c>
      <c r="J322" s="30">
        <v>-10000</v>
      </c>
      <c r="K322" s="30">
        <v>0</v>
      </c>
      <c r="L322" s="33">
        <v>-10000</v>
      </c>
      <c r="M322" t="s">
        <v>185</v>
      </c>
      <c r="N322" t="s">
        <v>208</v>
      </c>
      <c r="O322" s="34" t="s">
        <v>320</v>
      </c>
      <c r="P322" t="s">
        <v>187</v>
      </c>
      <c r="Q322" t="s">
        <v>23</v>
      </c>
      <c r="R322" t="s">
        <v>23</v>
      </c>
      <c r="S322" t="s">
        <v>25</v>
      </c>
      <c r="T322" t="str">
        <f>_xlfn.XLOOKUP(Tabela14[[#This Row],[Categoria]],CATEGORIAS!$C:$C,CATEGORIAS!$D:$D,"")</f>
        <v>2.1 Despesas Diretas</v>
      </c>
    </row>
    <row r="323" spans="2:20" x14ac:dyDescent="0.25">
      <c r="D323" s="1">
        <v>46122</v>
      </c>
      <c r="E323" s="1">
        <v>46140</v>
      </c>
      <c r="F323" s="17">
        <v>46140</v>
      </c>
      <c r="G323" t="s">
        <v>184</v>
      </c>
      <c r="H323" t="s">
        <v>27</v>
      </c>
      <c r="I323" t="s">
        <v>94</v>
      </c>
      <c r="J323" s="31">
        <v>1209.1519999999998</v>
      </c>
      <c r="K323" s="30">
        <v>0</v>
      </c>
      <c r="L323" s="33">
        <v>-1209.152</v>
      </c>
      <c r="M323" t="s">
        <v>185</v>
      </c>
      <c r="N323" t="s">
        <v>208</v>
      </c>
      <c r="O323" s="34" t="s">
        <v>386</v>
      </c>
      <c r="P323" t="s">
        <v>187</v>
      </c>
      <c r="Q323" t="s">
        <v>23</v>
      </c>
      <c r="R323" t="s">
        <v>23</v>
      </c>
      <c r="S323" t="s">
        <v>25</v>
      </c>
      <c r="T323" t="str">
        <f>_xlfn.XLOOKUP(Tabela14[[#This Row],[Categoria]],CATEGORIAS!$C:$C,CATEGORIAS!$D:$D,"")</f>
        <v>2.1 Despesas Diretas</v>
      </c>
    </row>
    <row r="324" spans="2:20" x14ac:dyDescent="0.25">
      <c r="D324" s="1">
        <v>46136</v>
      </c>
      <c r="E324" s="1">
        <v>46136</v>
      </c>
      <c r="F324" s="17">
        <v>46140</v>
      </c>
      <c r="G324" t="s">
        <v>184</v>
      </c>
      <c r="H324" t="s">
        <v>27</v>
      </c>
      <c r="I324" t="s">
        <v>91</v>
      </c>
      <c r="J324" s="30">
        <v>-12800</v>
      </c>
      <c r="K324" s="30">
        <v>0</v>
      </c>
      <c r="L324" s="33">
        <v>-12800</v>
      </c>
      <c r="M324" t="s">
        <v>185</v>
      </c>
      <c r="N324" t="s">
        <v>208</v>
      </c>
      <c r="O324" s="34" t="s">
        <v>468</v>
      </c>
      <c r="P324" t="s">
        <v>187</v>
      </c>
      <c r="Q324" t="s">
        <v>23</v>
      </c>
      <c r="R324" t="s">
        <v>222</v>
      </c>
      <c r="S324" t="s">
        <v>25</v>
      </c>
      <c r="T324" t="str">
        <f>_xlfn.XLOOKUP(Tabela14[[#This Row],[Categoria]],CATEGORIAS!$C:$C,CATEGORIAS!$D:$D,"")</f>
        <v>2.1 Despesas Diretas</v>
      </c>
    </row>
    <row r="325" spans="2:20" x14ac:dyDescent="0.25">
      <c r="D325" s="1">
        <v>46108</v>
      </c>
      <c r="E325" s="1">
        <v>46108</v>
      </c>
      <c r="F325" s="17">
        <v>46140</v>
      </c>
      <c r="G325" t="s">
        <v>184</v>
      </c>
      <c r="H325" t="s">
        <v>27</v>
      </c>
      <c r="I325" t="s">
        <v>92</v>
      </c>
      <c r="J325" s="30">
        <v>-168280</v>
      </c>
      <c r="K325" s="30">
        <v>0</v>
      </c>
      <c r="L325" s="33">
        <v>-168280</v>
      </c>
      <c r="M325" t="s">
        <v>185</v>
      </c>
      <c r="N325" t="s">
        <v>208</v>
      </c>
      <c r="O325" s="34" t="s">
        <v>323</v>
      </c>
      <c r="P325" t="s">
        <v>187</v>
      </c>
      <c r="Q325" t="s">
        <v>23</v>
      </c>
      <c r="R325" t="s">
        <v>218</v>
      </c>
      <c r="S325" t="s">
        <v>25</v>
      </c>
      <c r="T325" t="str">
        <f>_xlfn.XLOOKUP(Tabela14[[#This Row],[Categoria]],CATEGORIAS!$C:$C,CATEGORIAS!$D:$D,"")</f>
        <v>2.1 Despesas Diretas</v>
      </c>
    </row>
    <row r="326" spans="2:20" x14ac:dyDescent="0.25">
      <c r="D326" s="1">
        <v>46122</v>
      </c>
      <c r="E326" s="1">
        <v>46122</v>
      </c>
      <c r="F326" s="17">
        <v>46140</v>
      </c>
      <c r="G326" t="s">
        <v>298</v>
      </c>
      <c r="H326" t="s">
        <v>27</v>
      </c>
      <c r="I326" t="s">
        <v>94</v>
      </c>
      <c r="J326" s="30">
        <v>-3278.93</v>
      </c>
      <c r="K326" s="30">
        <v>0</v>
      </c>
      <c r="L326" s="33">
        <v>-3278.93</v>
      </c>
      <c r="M326" t="s">
        <v>185</v>
      </c>
      <c r="N326" t="s">
        <v>208</v>
      </c>
      <c r="O326" s="34" t="s">
        <v>473</v>
      </c>
      <c r="P326" t="s">
        <v>187</v>
      </c>
      <c r="Q326" t="s">
        <v>23</v>
      </c>
      <c r="R326" t="s">
        <v>23</v>
      </c>
      <c r="S326" t="s">
        <v>25</v>
      </c>
      <c r="T326" t="str">
        <f>_xlfn.XLOOKUP(Tabela14[[#This Row],[Categoria]],CATEGORIAS!$C:$C,CATEGORIAS!$D:$D,"")</f>
        <v>2.1 Despesas Diretas</v>
      </c>
    </row>
    <row r="327" spans="2:20" x14ac:dyDescent="0.25">
      <c r="D327" s="1">
        <v>46093</v>
      </c>
      <c r="E327" s="1">
        <v>46093</v>
      </c>
      <c r="F327" s="17">
        <v>46129</v>
      </c>
      <c r="G327" t="s">
        <v>18</v>
      </c>
      <c r="H327" t="s">
        <v>27</v>
      </c>
      <c r="I327" t="s">
        <v>99</v>
      </c>
      <c r="J327" s="30">
        <v>-1140.42</v>
      </c>
      <c r="K327" s="30">
        <v>0</v>
      </c>
      <c r="L327" s="33">
        <v>-1140.42</v>
      </c>
      <c r="M327" t="s">
        <v>212</v>
      </c>
      <c r="N327" t="s">
        <v>208</v>
      </c>
      <c r="O327" s="34" t="s">
        <v>301</v>
      </c>
      <c r="P327" t="s">
        <v>187</v>
      </c>
      <c r="Q327" t="s">
        <v>23</v>
      </c>
      <c r="R327" t="s">
        <v>23</v>
      </c>
      <c r="S327" t="s">
        <v>25</v>
      </c>
      <c r="T327" t="str">
        <f>_xlfn.XLOOKUP(Tabela14[[#This Row],[Categoria]],CATEGORIAS!$C:$C,CATEGORIAS!$D:$D,"")</f>
        <v>2.1 Despesas Diretas</v>
      </c>
    </row>
    <row r="328" spans="2:20" x14ac:dyDescent="0.25">
      <c r="D328" s="1">
        <v>46093</v>
      </c>
      <c r="E328" s="1">
        <v>46093</v>
      </c>
      <c r="F328" s="17">
        <v>46159</v>
      </c>
      <c r="G328" t="s">
        <v>18</v>
      </c>
      <c r="H328" t="s">
        <v>27</v>
      </c>
      <c r="I328" t="s">
        <v>95</v>
      </c>
      <c r="J328" s="30">
        <v>-868.4</v>
      </c>
      <c r="K328" s="30">
        <v>0</v>
      </c>
      <c r="L328" s="33">
        <v>-868.4</v>
      </c>
      <c r="M328" t="s">
        <v>212</v>
      </c>
      <c r="N328" t="s">
        <v>208</v>
      </c>
      <c r="O328" s="34" t="s">
        <v>300</v>
      </c>
      <c r="P328" t="s">
        <v>213</v>
      </c>
      <c r="Q328" t="s">
        <v>23</v>
      </c>
      <c r="R328" t="s">
        <v>23</v>
      </c>
      <c r="S328" t="s">
        <v>25</v>
      </c>
      <c r="T328" t="str">
        <f>_xlfn.XLOOKUP(Tabela14[[#This Row],[Categoria]],CATEGORIAS!$C:$C,CATEGORIAS!$D:$D,"")</f>
        <v>2.1 Despesas Diretas</v>
      </c>
    </row>
    <row r="329" spans="2:20" x14ac:dyDescent="0.25">
      <c r="D329" s="1">
        <v>46137</v>
      </c>
      <c r="E329" s="1">
        <v>46137</v>
      </c>
      <c r="F329" s="17">
        <v>46154</v>
      </c>
      <c r="G329" t="s">
        <v>298</v>
      </c>
      <c r="H329" t="s">
        <v>27</v>
      </c>
      <c r="I329" t="s">
        <v>95</v>
      </c>
      <c r="J329" s="30">
        <v>-249.15</v>
      </c>
      <c r="K329" s="30">
        <v>0</v>
      </c>
      <c r="L329" s="33">
        <v>-249.15</v>
      </c>
      <c r="M329" t="s">
        <v>185</v>
      </c>
      <c r="N329" t="s">
        <v>208</v>
      </c>
      <c r="O329" s="34" t="s">
        <v>472</v>
      </c>
      <c r="P329" t="s">
        <v>213</v>
      </c>
      <c r="Q329" t="s">
        <v>23</v>
      </c>
      <c r="R329" t="s">
        <v>23</v>
      </c>
      <c r="S329" t="s">
        <v>25</v>
      </c>
      <c r="T329" t="str">
        <f>_xlfn.XLOOKUP(Tabela14[[#This Row],[Categoria]],CATEGORIAS!$C:$C,CATEGORIAS!$D:$D,"")</f>
        <v>2.1 Despesas Diretas</v>
      </c>
    </row>
    <row r="330" spans="2:20" x14ac:dyDescent="0.25">
      <c r="D330" s="1">
        <v>46150</v>
      </c>
      <c r="E330" s="1">
        <v>46150</v>
      </c>
      <c r="F330" s="17">
        <v>46154</v>
      </c>
      <c r="G330" t="s">
        <v>184</v>
      </c>
      <c r="H330" t="s">
        <v>27</v>
      </c>
      <c r="I330" t="s">
        <v>94</v>
      </c>
      <c r="J330" s="30">
        <v>-472.03</v>
      </c>
      <c r="K330" s="30">
        <v>0</v>
      </c>
      <c r="L330" s="33">
        <v>-472.03</v>
      </c>
      <c r="M330" t="s">
        <v>185</v>
      </c>
      <c r="N330" t="s">
        <v>208</v>
      </c>
      <c r="O330" s="34" t="s">
        <v>319</v>
      </c>
      <c r="P330" t="s">
        <v>187</v>
      </c>
      <c r="Q330" t="s">
        <v>23</v>
      </c>
      <c r="R330" t="s">
        <v>23</v>
      </c>
      <c r="S330" t="s">
        <v>25</v>
      </c>
      <c r="T330" t="str">
        <f>_xlfn.XLOOKUP(Tabela14[[#This Row],[Categoria]],CATEGORIAS!$C:$C,CATEGORIAS!$D:$D,"")</f>
        <v>2.1 Despesas Diretas</v>
      </c>
    </row>
    <row r="331" spans="2:20" x14ac:dyDescent="0.25">
      <c r="D331" s="1">
        <v>46122</v>
      </c>
      <c r="E331" s="1">
        <v>46122</v>
      </c>
      <c r="F331" s="17">
        <v>46140</v>
      </c>
      <c r="G331" t="s">
        <v>184</v>
      </c>
      <c r="H331" t="s">
        <v>27</v>
      </c>
      <c r="I331" t="s">
        <v>93</v>
      </c>
      <c r="J331" s="30">
        <v>-22334.71</v>
      </c>
      <c r="K331" s="30">
        <v>0</v>
      </c>
      <c r="L331" s="33">
        <v>-22334.71</v>
      </c>
      <c r="M331" t="s">
        <v>185</v>
      </c>
      <c r="N331" t="s">
        <v>208</v>
      </c>
      <c r="O331" s="34" t="s">
        <v>316</v>
      </c>
      <c r="P331" t="s">
        <v>187</v>
      </c>
      <c r="Q331" t="s">
        <v>23</v>
      </c>
      <c r="R331" t="s">
        <v>23</v>
      </c>
      <c r="S331" t="s">
        <v>25</v>
      </c>
      <c r="T331" t="str">
        <f>_xlfn.XLOOKUP(Tabela14[[#This Row],[Categoria]],CATEGORIAS!$C:$C,CATEGORIAS!$D:$D,"")</f>
        <v>2.1 Despesas Diretas</v>
      </c>
    </row>
    <row r="332" spans="2:20" x14ac:dyDescent="0.25">
      <c r="D332" s="1">
        <v>46122</v>
      </c>
      <c r="E332" s="1">
        <v>46122</v>
      </c>
      <c r="F332" s="17">
        <v>46201</v>
      </c>
      <c r="G332" t="s">
        <v>322</v>
      </c>
      <c r="H332" t="s">
        <v>27</v>
      </c>
      <c r="I332" t="s">
        <v>95</v>
      </c>
      <c r="J332" s="30">
        <v>-13137.33</v>
      </c>
      <c r="K332" s="30">
        <v>0</v>
      </c>
      <c r="L332" s="33">
        <v>-25261.33</v>
      </c>
      <c r="M332" t="s">
        <v>185</v>
      </c>
      <c r="N332" t="s">
        <v>208</v>
      </c>
      <c r="O332" s="34" t="s">
        <v>320</v>
      </c>
      <c r="P332" t="s">
        <v>187</v>
      </c>
      <c r="Q332" t="s">
        <v>23</v>
      </c>
      <c r="R332" t="s">
        <v>23</v>
      </c>
      <c r="S332" t="s">
        <v>25</v>
      </c>
      <c r="T332" t="str">
        <f>_xlfn.XLOOKUP(Tabela14[[#This Row],[Categoria]],CATEGORIAS!$C:$C,CATEGORIAS!$D:$D,"")</f>
        <v>2.1 Despesas Diretas</v>
      </c>
    </row>
    <row r="333" spans="2:20" x14ac:dyDescent="0.25">
      <c r="D333" s="1">
        <v>46150</v>
      </c>
      <c r="E333" s="1">
        <v>46150</v>
      </c>
      <c r="F333" s="17">
        <v>46154</v>
      </c>
      <c r="G333" t="s">
        <v>298</v>
      </c>
      <c r="H333" t="s">
        <v>27</v>
      </c>
      <c r="I333" t="s">
        <v>95</v>
      </c>
      <c r="J333" s="30">
        <v>-1150.3800000000001</v>
      </c>
      <c r="K333" s="30">
        <v>0</v>
      </c>
      <c r="L333" s="33">
        <v>-1150.3800000000001</v>
      </c>
      <c r="M333" t="s">
        <v>185</v>
      </c>
      <c r="N333" t="s">
        <v>208</v>
      </c>
      <c r="O333" s="34" t="s">
        <v>292</v>
      </c>
      <c r="P333" t="s">
        <v>187</v>
      </c>
      <c r="Q333" t="s">
        <v>23</v>
      </c>
      <c r="R333" t="s">
        <v>23</v>
      </c>
      <c r="S333" t="s">
        <v>25</v>
      </c>
      <c r="T333" t="str">
        <f>_xlfn.XLOOKUP(Tabela14[[#This Row],[Categoria]],CATEGORIAS!$C:$C,CATEGORIAS!$D:$D,"")</f>
        <v>2.1 Despesas Diretas</v>
      </c>
    </row>
    <row r="334" spans="2:20" x14ac:dyDescent="0.25">
      <c r="D334" s="1">
        <v>46150</v>
      </c>
      <c r="E334" s="1">
        <v>46150</v>
      </c>
      <c r="F334" s="17">
        <v>46154</v>
      </c>
      <c r="G334" t="s">
        <v>184</v>
      </c>
      <c r="H334" t="s">
        <v>27</v>
      </c>
      <c r="I334" t="s">
        <v>91</v>
      </c>
      <c r="J334" s="31">
        <v>-25600</v>
      </c>
      <c r="K334" s="31">
        <v>0</v>
      </c>
      <c r="L334" s="33">
        <v>-25600</v>
      </c>
      <c r="M334" t="s">
        <v>185</v>
      </c>
      <c r="N334" t="s">
        <v>208</v>
      </c>
      <c r="O334" s="34" t="s">
        <v>468</v>
      </c>
      <c r="P334" t="s">
        <v>187</v>
      </c>
      <c r="Q334" t="s">
        <v>23</v>
      </c>
      <c r="R334" t="s">
        <v>23</v>
      </c>
      <c r="S334" t="s">
        <v>25</v>
      </c>
      <c r="T334" t="str">
        <f>_xlfn.XLOOKUP(Tabela14[[#This Row],[Categoria]],CATEGORIAS!$C:$C,CATEGORIAS!$D:$D,"")</f>
        <v>2.1 Despesas Diretas</v>
      </c>
    </row>
    <row r="335" spans="2:20" x14ac:dyDescent="0.25">
      <c r="B335"/>
      <c r="C335"/>
      <c r="D335" s="1">
        <v>46150</v>
      </c>
      <c r="E335" s="1">
        <v>46150</v>
      </c>
      <c r="F335" s="17">
        <v>46154</v>
      </c>
      <c r="G335" t="s">
        <v>184</v>
      </c>
      <c r="H335" t="s">
        <v>27</v>
      </c>
      <c r="I335" t="s">
        <v>93</v>
      </c>
      <c r="J335" s="30">
        <v>-22334.71</v>
      </c>
      <c r="K335" s="31">
        <v>0</v>
      </c>
      <c r="L335" s="33">
        <v>-22334.71</v>
      </c>
      <c r="M335" t="s">
        <v>185</v>
      </c>
      <c r="N335" t="s">
        <v>208</v>
      </c>
      <c r="O335" s="34" t="s">
        <v>316</v>
      </c>
      <c r="P335" t="s">
        <v>187</v>
      </c>
      <c r="Q335" t="s">
        <v>23</v>
      </c>
      <c r="R335" t="s">
        <v>23</v>
      </c>
      <c r="S335" t="s">
        <v>25</v>
      </c>
      <c r="T335" t="str">
        <f>_xlfn.XLOOKUP(Tabela14[[#This Row],[Categoria]],CATEGORIAS!$C:$C,CATEGORIAS!$D:$D,"")</f>
        <v>2.1 Despesas Diretas</v>
      </c>
    </row>
    <row r="336" spans="2:20" x14ac:dyDescent="0.25">
      <c r="D336" s="1">
        <v>46150</v>
      </c>
      <c r="E336" s="1">
        <v>46150</v>
      </c>
      <c r="F336" s="17">
        <v>46140</v>
      </c>
      <c r="G336" t="s">
        <v>184</v>
      </c>
      <c r="H336" t="s">
        <v>27</v>
      </c>
      <c r="I336" t="s">
        <v>94</v>
      </c>
      <c r="J336" s="31">
        <v>10645.333333333334</v>
      </c>
      <c r="K336" s="31">
        <v>0</v>
      </c>
      <c r="L336" s="33">
        <v>-10645.333333333299</v>
      </c>
      <c r="M336" t="s">
        <v>185</v>
      </c>
      <c r="N336" t="s">
        <v>208</v>
      </c>
      <c r="O336" s="34" t="s">
        <v>387</v>
      </c>
      <c r="P336" t="s">
        <v>187</v>
      </c>
      <c r="Q336" t="s">
        <v>23</v>
      </c>
      <c r="R336" t="s">
        <v>23</v>
      </c>
      <c r="S336" t="s">
        <v>25</v>
      </c>
      <c r="T336" t="str">
        <f>_xlfn.XLOOKUP(Tabela14[[#This Row],[Categoria]],CATEGORIAS!$C:$C,CATEGORIAS!$D:$D,"")</f>
        <v>2.1 Despesas Diretas</v>
      </c>
    </row>
    <row r="337" spans="2:20" x14ac:dyDescent="0.25">
      <c r="D337" s="1">
        <v>46150</v>
      </c>
      <c r="E337" s="1">
        <v>46150</v>
      </c>
      <c r="F337" s="17">
        <v>46154</v>
      </c>
      <c r="G337" t="s">
        <v>184</v>
      </c>
      <c r="H337" t="s">
        <v>27</v>
      </c>
      <c r="I337" t="s">
        <v>99</v>
      </c>
      <c r="J337" s="31">
        <v>10645.333333333334</v>
      </c>
      <c r="K337" s="31">
        <v>0</v>
      </c>
      <c r="L337" s="33">
        <v>-10645.333333333299</v>
      </c>
      <c r="M337" t="s">
        <v>185</v>
      </c>
      <c r="N337" t="s">
        <v>208</v>
      </c>
      <c r="O337" s="34" t="s">
        <v>387</v>
      </c>
      <c r="P337" t="s">
        <v>187</v>
      </c>
      <c r="Q337" t="s">
        <v>23</v>
      </c>
      <c r="R337" t="s">
        <v>23</v>
      </c>
      <c r="S337" t="s">
        <v>25</v>
      </c>
      <c r="T337" t="str">
        <f>_xlfn.XLOOKUP(Tabela14[[#This Row],[Categoria]],CATEGORIAS!$C:$C,CATEGORIAS!$D:$D,"")</f>
        <v>2.1 Despesas Diretas</v>
      </c>
    </row>
    <row r="338" spans="2:20" x14ac:dyDescent="0.25">
      <c r="D338" s="1">
        <v>46122</v>
      </c>
      <c r="E338" s="1">
        <v>46122</v>
      </c>
      <c r="F338" s="17">
        <v>46168</v>
      </c>
      <c r="G338" t="s">
        <v>184</v>
      </c>
      <c r="H338" t="s">
        <v>27</v>
      </c>
      <c r="I338" t="s">
        <v>92</v>
      </c>
      <c r="J338" s="31">
        <v>10645.333333333334</v>
      </c>
      <c r="K338" s="30">
        <v>0</v>
      </c>
      <c r="L338" s="33">
        <v>-10645.333333333299</v>
      </c>
      <c r="M338" t="s">
        <v>185</v>
      </c>
      <c r="N338" t="s">
        <v>208</v>
      </c>
      <c r="O338" s="34" t="s">
        <v>387</v>
      </c>
      <c r="P338" t="s">
        <v>187</v>
      </c>
      <c r="Q338" t="s">
        <v>23</v>
      </c>
      <c r="R338" t="s">
        <v>23</v>
      </c>
      <c r="S338" t="s">
        <v>25</v>
      </c>
      <c r="T338" t="str">
        <f>_xlfn.XLOOKUP(Tabela14[[#This Row],[Categoria]],CATEGORIAS!$C:$C,CATEGORIAS!$D:$D,"")</f>
        <v>2.1 Despesas Diretas</v>
      </c>
    </row>
    <row r="339" spans="2:20" x14ac:dyDescent="0.25">
      <c r="B339"/>
      <c r="C339"/>
      <c r="D339" s="1">
        <v>46150</v>
      </c>
      <c r="E339" s="1">
        <v>46150</v>
      </c>
      <c r="F339" s="17">
        <v>46154</v>
      </c>
      <c r="G339" t="s">
        <v>184</v>
      </c>
      <c r="H339" t="s">
        <v>27</v>
      </c>
      <c r="I339" t="s">
        <v>94</v>
      </c>
      <c r="J339" s="31">
        <v>1209.1519999999998</v>
      </c>
      <c r="K339" s="31">
        <v>0</v>
      </c>
      <c r="L339" s="33">
        <v>-1209.152</v>
      </c>
      <c r="M339" t="s">
        <v>185</v>
      </c>
      <c r="N339" t="s">
        <v>208</v>
      </c>
      <c r="O339" s="34" t="s">
        <v>386</v>
      </c>
      <c r="P339" t="s">
        <v>187</v>
      </c>
      <c r="Q339" t="s">
        <v>23</v>
      </c>
      <c r="R339" t="s">
        <v>23</v>
      </c>
      <c r="S339" t="s">
        <v>25</v>
      </c>
      <c r="T339" t="str">
        <f>_xlfn.XLOOKUP(Tabela14[[#This Row],[Categoria]],CATEGORIAS!$C:$C,CATEGORIAS!$D:$D,"")</f>
        <v>2.1 Despesas Diretas</v>
      </c>
    </row>
    <row r="340" spans="2:20" x14ac:dyDescent="0.25">
      <c r="B340"/>
      <c r="C340"/>
      <c r="D340" s="1">
        <v>46150</v>
      </c>
      <c r="E340" s="1">
        <v>46150</v>
      </c>
      <c r="F340" s="17">
        <v>46154</v>
      </c>
      <c r="G340" t="s">
        <v>184</v>
      </c>
      <c r="H340" t="s">
        <v>27</v>
      </c>
      <c r="I340" t="s">
        <v>99</v>
      </c>
      <c r="J340" s="31">
        <v>-906.05</v>
      </c>
      <c r="K340" s="31">
        <v>0</v>
      </c>
      <c r="L340" s="33">
        <v>-906.05</v>
      </c>
      <c r="M340" t="s">
        <v>185</v>
      </c>
      <c r="N340" t="s">
        <v>208</v>
      </c>
      <c r="O340" s="34" t="s">
        <v>466</v>
      </c>
      <c r="P340" t="s">
        <v>187</v>
      </c>
      <c r="Q340" t="s">
        <v>23</v>
      </c>
      <c r="R340" t="s">
        <v>23</v>
      </c>
      <c r="S340" t="s">
        <v>25</v>
      </c>
      <c r="T340" t="str">
        <f>_xlfn.XLOOKUP(Tabela14[[#This Row],[Categoria]],CATEGORIAS!$C:$C,CATEGORIAS!$D:$D,"")</f>
        <v>2.1 Despesas Diretas</v>
      </c>
    </row>
    <row r="341" spans="2:20" x14ac:dyDescent="0.25">
      <c r="B341"/>
      <c r="C341"/>
      <c r="D341" s="1">
        <v>46122</v>
      </c>
      <c r="E341" s="1">
        <v>46122</v>
      </c>
      <c r="F341" s="17">
        <v>46154</v>
      </c>
      <c r="G341" t="s">
        <v>184</v>
      </c>
      <c r="H341" t="s">
        <v>27</v>
      </c>
      <c r="I341" t="s">
        <v>92</v>
      </c>
      <c r="J341" s="30">
        <v>-168280</v>
      </c>
      <c r="K341" s="30">
        <v>0</v>
      </c>
      <c r="L341" s="33">
        <v>-168280</v>
      </c>
      <c r="M341" t="s">
        <v>185</v>
      </c>
      <c r="N341" t="s">
        <v>208</v>
      </c>
      <c r="O341" s="34" t="s">
        <v>323</v>
      </c>
      <c r="P341" t="s">
        <v>187</v>
      </c>
      <c r="Q341" t="s">
        <v>23</v>
      </c>
      <c r="R341" t="s">
        <v>23</v>
      </c>
      <c r="S341" t="s">
        <v>25</v>
      </c>
      <c r="T341" t="str">
        <f>_xlfn.XLOOKUP(Tabela14[[#This Row],[Categoria]],CATEGORIAS!$C:$C,CATEGORIAS!$D:$D,"")</f>
        <v>2.1 Despesas Diretas</v>
      </c>
    </row>
    <row r="342" spans="2:20" x14ac:dyDescent="0.25">
      <c r="B342"/>
      <c r="C342"/>
      <c r="D342" s="1">
        <v>46150</v>
      </c>
      <c r="E342" s="1">
        <v>46150</v>
      </c>
      <c r="F342" s="17">
        <v>46154</v>
      </c>
      <c r="G342" t="s">
        <v>184</v>
      </c>
      <c r="H342" t="s">
        <v>27</v>
      </c>
      <c r="I342" t="s">
        <v>97</v>
      </c>
      <c r="J342" s="30">
        <v>-801.5</v>
      </c>
      <c r="K342" s="30">
        <v>0</v>
      </c>
      <c r="L342" s="33">
        <v>-801.5</v>
      </c>
      <c r="M342" t="s">
        <v>185</v>
      </c>
      <c r="N342" t="s">
        <v>208</v>
      </c>
      <c r="O342" s="34" t="s">
        <v>465</v>
      </c>
      <c r="P342" t="s">
        <v>187</v>
      </c>
      <c r="Q342" t="s">
        <v>23</v>
      </c>
      <c r="R342" t="s">
        <v>23</v>
      </c>
      <c r="S342" t="s">
        <v>25</v>
      </c>
      <c r="T342" t="str">
        <f>_xlfn.XLOOKUP(Tabela14[[#This Row],[Categoria]],CATEGORIAS!$C:$C,CATEGORIAS!$D:$D,"")</f>
        <v>2.1 Despesas Diretas</v>
      </c>
    </row>
    <row r="343" spans="2:20" x14ac:dyDescent="0.25">
      <c r="B343"/>
      <c r="C343"/>
      <c r="D343" s="1">
        <v>46150</v>
      </c>
      <c r="E343" s="1">
        <v>46150</v>
      </c>
      <c r="F343" s="17">
        <v>46154</v>
      </c>
      <c r="G343" t="s">
        <v>298</v>
      </c>
      <c r="H343" t="s">
        <v>27</v>
      </c>
      <c r="I343" t="s">
        <v>94</v>
      </c>
      <c r="J343" s="30">
        <v>-3278.93</v>
      </c>
      <c r="K343" s="30">
        <v>0</v>
      </c>
      <c r="L343" s="33">
        <v>-3278.93</v>
      </c>
      <c r="M343" t="s">
        <v>185</v>
      </c>
      <c r="N343" t="s">
        <v>208</v>
      </c>
      <c r="O343" s="34" t="s">
        <v>473</v>
      </c>
      <c r="P343" t="s">
        <v>187</v>
      </c>
      <c r="Q343" t="s">
        <v>23</v>
      </c>
      <c r="R343" t="s">
        <v>23</v>
      </c>
      <c r="S343" t="s">
        <v>25</v>
      </c>
      <c r="T343" t="str">
        <f>_xlfn.XLOOKUP(Tabela14[[#This Row],[Categoria]],CATEGORIAS!$C:$C,CATEGORIAS!$D:$D,"")</f>
        <v>2.1 Despesas Diretas</v>
      </c>
    </row>
    <row r="344" spans="2:20" x14ac:dyDescent="0.25">
      <c r="D344" s="1">
        <v>46137</v>
      </c>
      <c r="E344" s="1">
        <v>46137</v>
      </c>
      <c r="F344" s="17">
        <v>46154</v>
      </c>
      <c r="G344" t="s">
        <v>298</v>
      </c>
      <c r="H344" t="s">
        <v>27</v>
      </c>
      <c r="I344" t="s">
        <v>94</v>
      </c>
      <c r="J344" s="31">
        <v>-199.6</v>
      </c>
      <c r="K344" s="31">
        <v>0</v>
      </c>
      <c r="L344" s="33">
        <v>-199.6</v>
      </c>
      <c r="M344" t="s">
        <v>185</v>
      </c>
      <c r="N344" t="s">
        <v>208</v>
      </c>
      <c r="O344" s="34" t="s">
        <v>471</v>
      </c>
      <c r="P344" t="s">
        <v>213</v>
      </c>
      <c r="Q344" t="s">
        <v>23</v>
      </c>
      <c r="R344" t="s">
        <v>23</v>
      </c>
      <c r="S344" t="s">
        <v>25</v>
      </c>
      <c r="T344" t="str">
        <f>_xlfn.XLOOKUP(Tabela14[[#This Row],[Categoria]],CATEGORIAS!$C:$C,CATEGORIAS!$D:$D,"")</f>
        <v>2.1 Despesas Diretas</v>
      </c>
    </row>
    <row r="345" spans="2:20" x14ac:dyDescent="0.25">
      <c r="B345"/>
      <c r="C345"/>
      <c r="D345" s="1">
        <v>46152</v>
      </c>
      <c r="E345" s="1">
        <v>46152</v>
      </c>
      <c r="F345" s="17">
        <v>46168</v>
      </c>
      <c r="G345" t="s">
        <v>298</v>
      </c>
      <c r="H345" t="s">
        <v>27</v>
      </c>
      <c r="I345" t="s">
        <v>94</v>
      </c>
      <c r="J345" s="30">
        <v>-199.6</v>
      </c>
      <c r="K345" s="30">
        <v>0</v>
      </c>
      <c r="L345" s="33">
        <v>-199.6</v>
      </c>
      <c r="M345" t="s">
        <v>185</v>
      </c>
      <c r="N345" t="s">
        <v>208</v>
      </c>
      <c r="O345" s="34" t="s">
        <v>471</v>
      </c>
      <c r="P345" t="s">
        <v>213</v>
      </c>
      <c r="Q345" t="s">
        <v>23</v>
      </c>
      <c r="R345" t="s">
        <v>23</v>
      </c>
      <c r="S345" t="s">
        <v>25</v>
      </c>
      <c r="T345" t="str">
        <f>_xlfn.XLOOKUP(Tabela14[[#This Row],[Categoria]],CATEGORIAS!$C:$C,CATEGORIAS!$D:$D,"")</f>
        <v>2.1 Despesas Diretas</v>
      </c>
    </row>
    <row r="346" spans="2:20" x14ac:dyDescent="0.25">
      <c r="B346"/>
      <c r="C346"/>
      <c r="D346" s="1">
        <v>46130</v>
      </c>
      <c r="E346" s="1">
        <v>46130</v>
      </c>
      <c r="F346" s="17">
        <v>46170</v>
      </c>
      <c r="G346" t="s">
        <v>306</v>
      </c>
      <c r="H346" t="s">
        <v>27</v>
      </c>
      <c r="I346" t="s">
        <v>95</v>
      </c>
      <c r="J346" s="30">
        <v>-10000</v>
      </c>
      <c r="K346" s="30">
        <v>0</v>
      </c>
      <c r="L346" s="33">
        <v>-10000</v>
      </c>
      <c r="M346" t="s">
        <v>185</v>
      </c>
      <c r="N346" t="s">
        <v>208</v>
      </c>
      <c r="O346" s="34" t="s">
        <v>320</v>
      </c>
      <c r="P346" t="s">
        <v>213</v>
      </c>
      <c r="Q346" t="s">
        <v>23</v>
      </c>
      <c r="R346" t="s">
        <v>23</v>
      </c>
      <c r="S346" t="s">
        <v>25</v>
      </c>
      <c r="T346" t="str">
        <f>_xlfn.XLOOKUP(Tabela14[[#This Row],[Categoria]],CATEGORIAS!$C:$C,CATEGORIAS!$D:$D,"")</f>
        <v>2.1 Despesas Diretas</v>
      </c>
    </row>
    <row r="347" spans="2:20" x14ac:dyDescent="0.25">
      <c r="B347"/>
      <c r="C347"/>
      <c r="D347" s="1">
        <v>46178</v>
      </c>
      <c r="E347" s="1">
        <v>46178</v>
      </c>
      <c r="F347" s="17">
        <v>46154</v>
      </c>
      <c r="G347" t="s">
        <v>184</v>
      </c>
      <c r="H347" t="s">
        <v>27</v>
      </c>
      <c r="I347" t="s">
        <v>97</v>
      </c>
      <c r="J347" s="30">
        <v>-801.5</v>
      </c>
      <c r="K347" s="30">
        <v>0</v>
      </c>
      <c r="L347" s="33">
        <v>-801.5</v>
      </c>
      <c r="M347" t="s">
        <v>185</v>
      </c>
      <c r="N347" t="s">
        <v>208</v>
      </c>
      <c r="O347" s="34" t="s">
        <v>465</v>
      </c>
      <c r="P347" t="s">
        <v>187</v>
      </c>
      <c r="Q347" t="s">
        <v>23</v>
      </c>
      <c r="R347" t="s">
        <v>23</v>
      </c>
      <c r="S347" t="s">
        <v>25</v>
      </c>
      <c r="T347" t="str">
        <f>_xlfn.XLOOKUP(Tabela14[[#This Row],[Categoria]],CATEGORIAS!$C:$C,CATEGORIAS!$D:$D,"")</f>
        <v>2.1 Despesas Diretas</v>
      </c>
    </row>
    <row r="348" spans="2:20" x14ac:dyDescent="0.25">
      <c r="B348"/>
      <c r="C348"/>
      <c r="D348" s="1">
        <v>46152</v>
      </c>
      <c r="E348" s="1">
        <v>46152</v>
      </c>
      <c r="F348" s="17">
        <v>46168</v>
      </c>
      <c r="G348" t="s">
        <v>298</v>
      </c>
      <c r="H348" t="s">
        <v>27</v>
      </c>
      <c r="I348" t="s">
        <v>95</v>
      </c>
      <c r="J348" s="30">
        <v>-249.15</v>
      </c>
      <c r="K348" s="30">
        <v>0</v>
      </c>
      <c r="L348" s="33">
        <v>-249.15</v>
      </c>
      <c r="M348" t="s">
        <v>185</v>
      </c>
      <c r="N348" t="s">
        <v>208</v>
      </c>
      <c r="O348" s="34" t="s">
        <v>472</v>
      </c>
      <c r="P348" t="s">
        <v>213</v>
      </c>
      <c r="Q348" t="s">
        <v>23</v>
      </c>
      <c r="R348" t="s">
        <v>23</v>
      </c>
      <c r="S348" t="s">
        <v>25</v>
      </c>
      <c r="T348" t="str">
        <f>_xlfn.XLOOKUP(Tabela14[[#This Row],[Categoria]],CATEGORIAS!$C:$C,CATEGORIAS!$D:$D,"")</f>
        <v>2.1 Despesas Diretas</v>
      </c>
    </row>
    <row r="349" spans="2:20" x14ac:dyDescent="0.25">
      <c r="B349"/>
      <c r="C349"/>
      <c r="D349" s="1">
        <v>46093</v>
      </c>
      <c r="E349" s="1">
        <v>46093</v>
      </c>
      <c r="F349" s="17">
        <v>46190</v>
      </c>
      <c r="G349" t="s">
        <v>18</v>
      </c>
      <c r="H349" t="s">
        <v>27</v>
      </c>
      <c r="I349" t="s">
        <v>99</v>
      </c>
      <c r="J349" s="30">
        <v>-1140.42</v>
      </c>
      <c r="K349" s="30">
        <v>0</v>
      </c>
      <c r="L349" s="33">
        <v>-1140.42</v>
      </c>
      <c r="M349" t="s">
        <v>212</v>
      </c>
      <c r="N349" t="s">
        <v>208</v>
      </c>
      <c r="O349" s="34" t="s">
        <v>301</v>
      </c>
      <c r="P349" t="s">
        <v>213</v>
      </c>
      <c r="Q349" t="s">
        <v>23</v>
      </c>
      <c r="R349" t="s">
        <v>23</v>
      </c>
      <c r="S349" t="s">
        <v>25</v>
      </c>
      <c r="T349" t="str">
        <f>_xlfn.XLOOKUP(Tabela14[[#This Row],[Categoria]],CATEGORIAS!$C:$C,CATEGORIAS!$D:$D,"")</f>
        <v>2.1 Despesas Diretas</v>
      </c>
    </row>
    <row r="350" spans="2:20" x14ac:dyDescent="0.25">
      <c r="B350"/>
      <c r="C350"/>
      <c r="D350" s="1">
        <v>46178</v>
      </c>
      <c r="E350" s="1">
        <v>46178</v>
      </c>
      <c r="F350" s="17">
        <v>46168</v>
      </c>
      <c r="G350" t="s">
        <v>298</v>
      </c>
      <c r="H350" t="s">
        <v>27</v>
      </c>
      <c r="I350" t="s">
        <v>95</v>
      </c>
      <c r="J350" s="30">
        <v>-1150.3800000000001</v>
      </c>
      <c r="K350" s="30">
        <v>0</v>
      </c>
      <c r="L350" s="33">
        <v>-1150.3800000000001</v>
      </c>
      <c r="M350" t="s">
        <v>185</v>
      </c>
      <c r="N350" t="s">
        <v>208</v>
      </c>
      <c r="O350" s="34" t="s">
        <v>292</v>
      </c>
      <c r="P350" t="s">
        <v>187</v>
      </c>
      <c r="Q350" t="s">
        <v>23</v>
      </c>
      <c r="R350" t="s">
        <v>23</v>
      </c>
      <c r="S350" t="s">
        <v>25</v>
      </c>
      <c r="T350" t="str">
        <f>_xlfn.XLOOKUP(Tabela14[[#This Row],[Categoria]],CATEGORIAS!$C:$C,CATEGORIAS!$D:$D,"")</f>
        <v>2.1 Despesas Diretas</v>
      </c>
    </row>
    <row r="351" spans="2:20" x14ac:dyDescent="0.25">
      <c r="B351"/>
      <c r="C351"/>
      <c r="D351" s="1">
        <v>46178</v>
      </c>
      <c r="E351" s="1">
        <v>46178</v>
      </c>
      <c r="F351" s="17">
        <v>46168</v>
      </c>
      <c r="G351" t="s">
        <v>298</v>
      </c>
      <c r="H351" t="s">
        <v>27</v>
      </c>
      <c r="I351" t="s">
        <v>94</v>
      </c>
      <c r="J351" s="30">
        <v>-3278.93</v>
      </c>
      <c r="K351" s="30">
        <v>0</v>
      </c>
      <c r="L351" s="33">
        <v>-3278.93</v>
      </c>
      <c r="M351" t="s">
        <v>185</v>
      </c>
      <c r="N351" t="s">
        <v>208</v>
      </c>
      <c r="O351" s="34" t="s">
        <v>473</v>
      </c>
      <c r="P351" t="s">
        <v>187</v>
      </c>
      <c r="Q351" t="s">
        <v>23</v>
      </c>
      <c r="R351" t="s">
        <v>23</v>
      </c>
      <c r="S351" t="s">
        <v>25</v>
      </c>
      <c r="T351" t="str">
        <f>_xlfn.XLOOKUP(Tabela14[[#This Row],[Categoria]],CATEGORIAS!$C:$C,CATEGORIAS!$D:$D,"")</f>
        <v>2.1 Despesas Diretas</v>
      </c>
    </row>
    <row r="352" spans="2:20" x14ac:dyDescent="0.25">
      <c r="B352"/>
      <c r="C352"/>
      <c r="D352" s="1">
        <v>46178</v>
      </c>
      <c r="E352" s="1">
        <v>46178</v>
      </c>
      <c r="F352" s="17">
        <v>46168</v>
      </c>
      <c r="G352" t="s">
        <v>184</v>
      </c>
      <c r="H352" t="s">
        <v>27</v>
      </c>
      <c r="I352" t="s">
        <v>94</v>
      </c>
      <c r="J352" s="31">
        <v>1209.1519999999998</v>
      </c>
      <c r="K352" s="30">
        <v>0</v>
      </c>
      <c r="L352" s="33">
        <v>-1209.152</v>
      </c>
      <c r="M352" t="s">
        <v>185</v>
      </c>
      <c r="N352" t="s">
        <v>208</v>
      </c>
      <c r="O352" s="34" t="s">
        <v>386</v>
      </c>
      <c r="P352" t="s">
        <v>187</v>
      </c>
      <c r="Q352" t="s">
        <v>23</v>
      </c>
      <c r="R352" t="s">
        <v>23</v>
      </c>
      <c r="S352" t="s">
        <v>25</v>
      </c>
      <c r="T352" t="str">
        <f>_xlfn.XLOOKUP(Tabela14[[#This Row],[Categoria]],CATEGORIAS!$C:$C,CATEGORIAS!$D:$D,"")</f>
        <v>2.1 Despesas Diretas</v>
      </c>
    </row>
    <row r="353" spans="2:20" x14ac:dyDescent="0.25">
      <c r="B353"/>
      <c r="C353"/>
      <c r="D353" s="1">
        <v>46178</v>
      </c>
      <c r="E353" s="1">
        <v>46178</v>
      </c>
      <c r="F353" s="17">
        <v>46185</v>
      </c>
      <c r="G353" t="s">
        <v>184</v>
      </c>
      <c r="H353" t="s">
        <v>27</v>
      </c>
      <c r="I353" t="s">
        <v>99</v>
      </c>
      <c r="J353" s="30">
        <v>-906.05</v>
      </c>
      <c r="K353" s="30">
        <v>0</v>
      </c>
      <c r="L353" s="33">
        <v>-906.05</v>
      </c>
      <c r="M353" t="s">
        <v>185</v>
      </c>
      <c r="N353" t="s">
        <v>208</v>
      </c>
      <c r="O353" s="34" t="s">
        <v>466</v>
      </c>
      <c r="P353" t="s">
        <v>187</v>
      </c>
      <c r="Q353" t="s">
        <v>23</v>
      </c>
      <c r="R353" t="s">
        <v>23</v>
      </c>
      <c r="S353" t="s">
        <v>25</v>
      </c>
      <c r="T353" t="str">
        <f>_xlfn.XLOOKUP(Tabela14[[#This Row],[Categoria]],CATEGORIAS!$C:$C,CATEGORIAS!$D:$D,"")</f>
        <v>2.1 Despesas Diretas</v>
      </c>
    </row>
    <row r="354" spans="2:20" x14ac:dyDescent="0.25">
      <c r="B354"/>
      <c r="C354"/>
      <c r="D354" s="1">
        <v>46164</v>
      </c>
      <c r="E354" s="1">
        <v>46164</v>
      </c>
      <c r="F354" s="17">
        <v>46168</v>
      </c>
      <c r="G354" t="s">
        <v>184</v>
      </c>
      <c r="H354" t="s">
        <v>27</v>
      </c>
      <c r="I354" t="s">
        <v>91</v>
      </c>
      <c r="J354" s="30">
        <v>-32000</v>
      </c>
      <c r="K354" s="30">
        <v>0</v>
      </c>
      <c r="L354" s="33">
        <v>-32000</v>
      </c>
      <c r="M354" t="s">
        <v>185</v>
      </c>
      <c r="N354" t="s">
        <v>208</v>
      </c>
      <c r="O354" s="34" t="s">
        <v>468</v>
      </c>
      <c r="P354" t="s">
        <v>187</v>
      </c>
      <c r="Q354" t="s">
        <v>23</v>
      </c>
      <c r="R354" t="s">
        <v>23</v>
      </c>
      <c r="S354" t="s">
        <v>25</v>
      </c>
      <c r="T354" t="str">
        <f>_xlfn.XLOOKUP(Tabela14[[#This Row],[Categoria]],CATEGORIAS!$C:$C,CATEGORIAS!$D:$D,"")</f>
        <v>2.1 Despesas Diretas</v>
      </c>
    </row>
    <row r="355" spans="2:20" x14ac:dyDescent="0.25">
      <c r="B355"/>
      <c r="C355"/>
      <c r="D355" s="1">
        <v>46178</v>
      </c>
      <c r="E355" s="1">
        <v>46178</v>
      </c>
      <c r="F355" s="17">
        <v>46168</v>
      </c>
      <c r="G355" t="s">
        <v>184</v>
      </c>
      <c r="H355" t="s">
        <v>27</v>
      </c>
      <c r="I355" t="s">
        <v>94</v>
      </c>
      <c r="J355" s="30">
        <v>-472.03</v>
      </c>
      <c r="K355" s="30">
        <v>0</v>
      </c>
      <c r="L355" s="33">
        <v>-472.03</v>
      </c>
      <c r="M355" t="s">
        <v>185</v>
      </c>
      <c r="N355" t="s">
        <v>208</v>
      </c>
      <c r="O355" s="34" t="s">
        <v>319</v>
      </c>
      <c r="P355" t="s">
        <v>187</v>
      </c>
      <c r="Q355" t="s">
        <v>23</v>
      </c>
      <c r="R355" t="s">
        <v>23</v>
      </c>
      <c r="S355" t="s">
        <v>25</v>
      </c>
      <c r="T355" t="str">
        <f>_xlfn.XLOOKUP(Tabela14[[#This Row],[Categoria]],CATEGORIAS!$C:$C,CATEGORIAS!$D:$D,"")</f>
        <v>2.1 Despesas Diretas</v>
      </c>
    </row>
    <row r="356" spans="2:20" x14ac:dyDescent="0.25">
      <c r="B356"/>
      <c r="C356"/>
      <c r="D356" s="1">
        <v>46093</v>
      </c>
      <c r="E356" s="1">
        <v>46093</v>
      </c>
      <c r="F356" s="17">
        <v>46220</v>
      </c>
      <c r="G356" t="s">
        <v>18</v>
      </c>
      <c r="H356" t="s">
        <v>27</v>
      </c>
      <c r="I356" t="s">
        <v>99</v>
      </c>
      <c r="J356" s="30">
        <v>-1140.42</v>
      </c>
      <c r="K356" s="30">
        <v>0</v>
      </c>
      <c r="L356" s="33">
        <v>-1140.42</v>
      </c>
      <c r="M356" t="s">
        <v>212</v>
      </c>
      <c r="N356" t="s">
        <v>208</v>
      </c>
      <c r="O356" s="34" t="s">
        <v>301</v>
      </c>
      <c r="P356" t="s">
        <v>213</v>
      </c>
      <c r="Q356" t="s">
        <v>23</v>
      </c>
      <c r="R356" t="s">
        <v>23</v>
      </c>
      <c r="S356" t="s">
        <v>25</v>
      </c>
      <c r="T356" t="str">
        <f>_xlfn.XLOOKUP(Tabela14[[#This Row],[Categoria]],CATEGORIAS!$C:$C,CATEGORIAS!$D:$D,"")</f>
        <v>2.1 Despesas Diretas</v>
      </c>
    </row>
    <row r="357" spans="2:20" x14ac:dyDescent="0.25">
      <c r="B357"/>
      <c r="C357"/>
      <c r="D357" s="1">
        <v>46160</v>
      </c>
      <c r="E357" s="1">
        <v>46160</v>
      </c>
      <c r="F357" s="17">
        <v>46201</v>
      </c>
      <c r="G357" t="s">
        <v>306</v>
      </c>
      <c r="H357" t="s">
        <v>27</v>
      </c>
      <c r="I357" t="s">
        <v>95</v>
      </c>
      <c r="J357" s="30">
        <v>-10000</v>
      </c>
      <c r="K357" s="30">
        <v>0</v>
      </c>
      <c r="L357" s="33">
        <v>-10000</v>
      </c>
      <c r="M357" t="s">
        <v>185</v>
      </c>
      <c r="N357" t="s">
        <v>208</v>
      </c>
      <c r="O357" s="34" t="s">
        <v>320</v>
      </c>
      <c r="P357" t="s">
        <v>213</v>
      </c>
      <c r="Q357" t="s">
        <v>23</v>
      </c>
      <c r="R357" t="s">
        <v>23</v>
      </c>
      <c r="S357" t="s">
        <v>25</v>
      </c>
      <c r="T357" t="str">
        <f>_xlfn.XLOOKUP(Tabela14[[#This Row],[Categoria]],CATEGORIAS!$C:$C,CATEGORIAS!$D:$D,"")</f>
        <v>2.1 Despesas Diretas</v>
      </c>
    </row>
    <row r="358" spans="2:20" x14ac:dyDescent="0.25">
      <c r="B358"/>
      <c r="C358"/>
      <c r="E358" s="1">
        <v>46122</v>
      </c>
      <c r="F358" s="17">
        <v>46140</v>
      </c>
      <c r="G358" t="s">
        <v>298</v>
      </c>
      <c r="H358" t="s">
        <v>27</v>
      </c>
      <c r="I358" t="s">
        <v>95</v>
      </c>
      <c r="J358" s="30">
        <v>-14740.41</v>
      </c>
      <c r="K358" s="30">
        <v>0</v>
      </c>
      <c r="L358" s="33">
        <v>-13098.666666666666</v>
      </c>
      <c r="M358" t="s">
        <v>185</v>
      </c>
      <c r="N358" t="s">
        <v>208</v>
      </c>
      <c r="O358" s="34" t="s">
        <v>320</v>
      </c>
      <c r="P358" t="s">
        <v>187</v>
      </c>
      <c r="Q358" t="s">
        <v>23</v>
      </c>
      <c r="R358" t="s">
        <v>23</v>
      </c>
      <c r="S358" t="s">
        <v>25</v>
      </c>
      <c r="T358" t="str">
        <f>_xlfn.XLOOKUP(Tabela14[[#This Row],[Categoria]],CATEGORIAS!$C:$C,CATEGORIAS!$D:$D,"")</f>
        <v>2.1 Despesas Diretas</v>
      </c>
    </row>
    <row r="359" spans="2:20" x14ac:dyDescent="0.25">
      <c r="B359"/>
      <c r="C359"/>
      <c r="E359" s="1">
        <v>46152</v>
      </c>
      <c r="F359" s="17">
        <v>46154</v>
      </c>
      <c r="G359" t="s">
        <v>298</v>
      </c>
      <c r="H359" t="s">
        <v>27</v>
      </c>
      <c r="I359" t="s">
        <v>95</v>
      </c>
      <c r="J359" s="30">
        <v>-13940.41</v>
      </c>
      <c r="K359" s="30">
        <v>0</v>
      </c>
      <c r="L359" s="33">
        <v>-13098.666666666666</v>
      </c>
      <c r="M359" t="s">
        <v>185</v>
      </c>
      <c r="N359" t="s">
        <v>208</v>
      </c>
      <c r="O359" s="34" t="s">
        <v>320</v>
      </c>
      <c r="P359" t="s">
        <v>213</v>
      </c>
      <c r="Q359" t="s">
        <v>23</v>
      </c>
      <c r="R359" t="s">
        <v>23</v>
      </c>
      <c r="S359" t="s">
        <v>25</v>
      </c>
      <c r="T359" t="str">
        <f>_xlfn.XLOOKUP(Tabela14[[#This Row],[Categoria]],CATEGORIAS!$C:$C,CATEGORIAS!$D:$D,"")</f>
        <v>2.1 Despesas Diretas</v>
      </c>
    </row>
    <row r="360" spans="2:20" x14ac:dyDescent="0.25">
      <c r="B360"/>
      <c r="C360"/>
      <c r="E360" s="1">
        <v>46137</v>
      </c>
      <c r="F360" s="17">
        <v>46168</v>
      </c>
      <c r="G360" t="s">
        <v>298</v>
      </c>
      <c r="H360" t="s">
        <v>27</v>
      </c>
      <c r="I360" t="s">
        <v>95</v>
      </c>
      <c r="J360" s="30">
        <v>-13940.41</v>
      </c>
      <c r="K360" s="30">
        <v>0</v>
      </c>
      <c r="L360" s="33">
        <v>-13098.666666666666</v>
      </c>
      <c r="M360" t="s">
        <v>185</v>
      </c>
      <c r="N360" t="s">
        <v>208</v>
      </c>
      <c r="O360" s="34" t="s">
        <v>320</v>
      </c>
      <c r="P360" t="s">
        <v>213</v>
      </c>
      <c r="Q360" t="s">
        <v>23</v>
      </c>
      <c r="R360" t="s">
        <v>23</v>
      </c>
      <c r="S360" t="s">
        <v>25</v>
      </c>
      <c r="T360" t="str">
        <f>_xlfn.XLOOKUP(Tabela14[[#This Row],[Categoria]],CATEGORIAS!$C:$C,CATEGORIAS!$D:$D,"")</f>
        <v>2.1 Despesas Diretas</v>
      </c>
    </row>
    <row r="361" spans="2:20" x14ac:dyDescent="0.25">
      <c r="B361"/>
      <c r="C361"/>
      <c r="D361" s="1">
        <v>46220</v>
      </c>
      <c r="E361" s="1">
        <v>46220</v>
      </c>
      <c r="F361" s="17">
        <v>46220</v>
      </c>
      <c r="G361" t="s">
        <v>184</v>
      </c>
      <c r="H361" t="s">
        <v>27</v>
      </c>
      <c r="I361" t="s">
        <v>90</v>
      </c>
      <c r="J361" s="30">
        <v>-76.16</v>
      </c>
      <c r="K361" s="30">
        <v>0</v>
      </c>
      <c r="L361" s="33">
        <v>-76.16</v>
      </c>
      <c r="M361" t="s">
        <v>185</v>
      </c>
      <c r="N361" s="39" t="s">
        <v>190</v>
      </c>
      <c r="O361" s="34" t="s">
        <v>463</v>
      </c>
      <c r="P361" t="s">
        <v>187</v>
      </c>
      <c r="Q361" t="s">
        <v>23</v>
      </c>
      <c r="R361" t="s">
        <v>23</v>
      </c>
      <c r="S361" t="s">
        <v>25</v>
      </c>
      <c r="T361" t="str">
        <f>_xlfn.XLOOKUP(Tabela14[[#This Row],[Categoria]],CATEGORIAS!$C:$C,CATEGORIAS!$D:$D,"")</f>
        <v>2.1 Despesas Diretas</v>
      </c>
    </row>
    <row r="362" spans="2:20" x14ac:dyDescent="0.25">
      <c r="B362"/>
      <c r="C362"/>
      <c r="D362" s="1">
        <v>46220</v>
      </c>
      <c r="E362" s="1">
        <v>46220</v>
      </c>
      <c r="F362" s="17">
        <v>46220</v>
      </c>
      <c r="G362" t="s">
        <v>184</v>
      </c>
      <c r="H362" t="s">
        <v>27</v>
      </c>
      <c r="I362" t="s">
        <v>90</v>
      </c>
      <c r="J362" s="30">
        <v>-252.48</v>
      </c>
      <c r="K362" s="30">
        <v>0</v>
      </c>
      <c r="L362" s="33">
        <v>-252.48</v>
      </c>
      <c r="M362" t="s">
        <v>185</v>
      </c>
      <c r="N362" s="39" t="s">
        <v>190</v>
      </c>
      <c r="O362" s="34" t="s">
        <v>461</v>
      </c>
      <c r="P362" t="s">
        <v>187</v>
      </c>
      <c r="Q362" t="s">
        <v>23</v>
      </c>
      <c r="R362" t="s">
        <v>23</v>
      </c>
      <c r="S362" t="s">
        <v>25</v>
      </c>
      <c r="T362" t="str">
        <f>_xlfn.XLOOKUP(Tabela14[[#This Row],[Categoria]],CATEGORIAS!$C:$C,CATEGORIAS!$D:$D,"")</f>
        <v>2.1 Despesas Diretas</v>
      </c>
    </row>
    <row r="363" spans="2:20" x14ac:dyDescent="0.25">
      <c r="B363"/>
      <c r="C363"/>
      <c r="D363" s="1">
        <v>46220</v>
      </c>
      <c r="E363" s="1">
        <v>46220</v>
      </c>
      <c r="F363" s="17">
        <v>46220</v>
      </c>
      <c r="G363" t="s">
        <v>184</v>
      </c>
      <c r="H363" t="s">
        <v>27</v>
      </c>
      <c r="I363" t="s">
        <v>90</v>
      </c>
      <c r="J363" s="30">
        <v>-152.96</v>
      </c>
      <c r="K363" s="30">
        <v>0</v>
      </c>
      <c r="L363" s="33">
        <v>-152.96</v>
      </c>
      <c r="M363" t="s">
        <v>185</v>
      </c>
      <c r="N363" s="39" t="s">
        <v>190</v>
      </c>
      <c r="O363" s="34" t="s">
        <v>474</v>
      </c>
      <c r="P363" t="s">
        <v>187</v>
      </c>
      <c r="Q363" t="s">
        <v>23</v>
      </c>
      <c r="R363" t="s">
        <v>23</v>
      </c>
      <c r="S363" t="s">
        <v>25</v>
      </c>
      <c r="T363" t="str">
        <f>_xlfn.XLOOKUP(Tabela14[[#This Row],[Categoria]],CATEGORIAS!$C:$C,CATEGORIAS!$D:$D,"")</f>
        <v>2.1 Despesas Diretas</v>
      </c>
    </row>
    <row r="364" spans="2:20" x14ac:dyDescent="0.25">
      <c r="B364"/>
      <c r="C364"/>
      <c r="D364" s="1">
        <v>46220</v>
      </c>
      <c r="E364" s="1">
        <v>46220</v>
      </c>
      <c r="F364" s="17">
        <v>46220</v>
      </c>
      <c r="G364" t="s">
        <v>184</v>
      </c>
      <c r="H364" t="s">
        <v>27</v>
      </c>
      <c r="I364" t="s">
        <v>94</v>
      </c>
      <c r="J364" s="30">
        <v>-382.08</v>
      </c>
      <c r="K364" s="30">
        <v>0</v>
      </c>
      <c r="L364" s="33">
        <v>-382.08</v>
      </c>
      <c r="M364" t="s">
        <v>185</v>
      </c>
      <c r="N364" s="39" t="s">
        <v>190</v>
      </c>
      <c r="O364" s="34" t="s">
        <v>459</v>
      </c>
      <c r="P364" t="s">
        <v>187</v>
      </c>
      <c r="Q364" t="s">
        <v>23</v>
      </c>
      <c r="R364" t="s">
        <v>23</v>
      </c>
      <c r="S364" t="s">
        <v>25</v>
      </c>
      <c r="T364" t="str">
        <f>_xlfn.XLOOKUP(Tabela14[[#This Row],[Categoria]],CATEGORIAS!$C:$C,CATEGORIAS!$D:$D,"")</f>
        <v>2.1 Despesas Diretas</v>
      </c>
    </row>
    <row r="365" spans="2:20" x14ac:dyDescent="0.25">
      <c r="B365"/>
      <c r="C365"/>
      <c r="D365" s="1">
        <v>46220</v>
      </c>
      <c r="E365" s="1">
        <v>46220</v>
      </c>
      <c r="F365" s="17">
        <v>46220</v>
      </c>
      <c r="G365" t="s">
        <v>184</v>
      </c>
      <c r="H365" t="s">
        <v>27</v>
      </c>
      <c r="I365" t="s">
        <v>107</v>
      </c>
      <c r="J365" s="30">
        <v>-2332.8000000000002</v>
      </c>
      <c r="K365" s="30">
        <v>0</v>
      </c>
      <c r="L365" s="33">
        <v>-2332.8000000000002</v>
      </c>
      <c r="M365" t="s">
        <v>185</v>
      </c>
      <c r="N365" s="39" t="s">
        <v>190</v>
      </c>
      <c r="O365" s="34" t="s">
        <v>475</v>
      </c>
      <c r="P365" t="s">
        <v>187</v>
      </c>
      <c r="Q365" t="s">
        <v>23</v>
      </c>
      <c r="R365" t="s">
        <v>23</v>
      </c>
      <c r="S365" t="s">
        <v>25</v>
      </c>
      <c r="T365" t="str">
        <f>_xlfn.XLOOKUP(Tabela14[[#This Row],[Categoria]],CATEGORIAS!$C:$C,CATEGORIAS!$D:$D,"")</f>
        <v>2.1 Despesas Diretas</v>
      </c>
    </row>
    <row r="366" spans="2:20" x14ac:dyDescent="0.25">
      <c r="B366"/>
      <c r="C366"/>
      <c r="D366" s="1">
        <v>46220</v>
      </c>
      <c r="E366" s="1">
        <v>46220</v>
      </c>
      <c r="F366" s="17">
        <v>46220</v>
      </c>
      <c r="G366" t="s">
        <v>184</v>
      </c>
      <c r="H366" t="s">
        <v>27</v>
      </c>
      <c r="I366" t="s">
        <v>90</v>
      </c>
      <c r="J366" s="30">
        <v>-1056</v>
      </c>
      <c r="K366" s="30">
        <v>0</v>
      </c>
      <c r="L366" s="33">
        <v>-1056</v>
      </c>
      <c r="M366" t="s">
        <v>185</v>
      </c>
      <c r="N366" s="39" t="s">
        <v>190</v>
      </c>
      <c r="O366" s="34" t="s">
        <v>460</v>
      </c>
      <c r="P366" t="s">
        <v>187</v>
      </c>
      <c r="Q366" t="s">
        <v>23</v>
      </c>
      <c r="R366" t="s">
        <v>23</v>
      </c>
      <c r="S366" t="s">
        <v>25</v>
      </c>
      <c r="T366" t="str">
        <f>_xlfn.XLOOKUP(Tabela14[[#This Row],[Categoria]],CATEGORIAS!$C:$C,CATEGORIAS!$D:$D,"")</f>
        <v>2.1 Despesas Diretas</v>
      </c>
    </row>
    <row r="367" spans="2:20" x14ac:dyDescent="0.25">
      <c r="B367"/>
      <c r="C367"/>
      <c r="D367" s="1">
        <v>46220</v>
      </c>
      <c r="E367" s="1">
        <v>46220</v>
      </c>
      <c r="F367" s="17">
        <v>46220</v>
      </c>
      <c r="G367" t="s">
        <v>184</v>
      </c>
      <c r="H367" t="s">
        <v>27</v>
      </c>
      <c r="I367" t="s">
        <v>90</v>
      </c>
      <c r="J367" s="30">
        <v>-479.68</v>
      </c>
      <c r="K367" s="30">
        <v>0</v>
      </c>
      <c r="L367" s="33">
        <v>-479.68</v>
      </c>
      <c r="M367" t="s">
        <v>185</v>
      </c>
      <c r="N367" s="39" t="s">
        <v>190</v>
      </c>
      <c r="O367" s="34" t="s">
        <v>476</v>
      </c>
      <c r="P367" t="s">
        <v>187</v>
      </c>
      <c r="Q367" t="s">
        <v>23</v>
      </c>
      <c r="R367" t="s">
        <v>23</v>
      </c>
      <c r="S367" t="s">
        <v>25</v>
      </c>
      <c r="T367" t="str">
        <f>_xlfn.XLOOKUP(Tabela14[[#This Row],[Categoria]],CATEGORIAS!$C:$C,CATEGORIAS!$D:$D,"")</f>
        <v>2.1 Despesas Diretas</v>
      </c>
    </row>
    <row r="368" spans="2:20" x14ac:dyDescent="0.25">
      <c r="B368"/>
      <c r="C368"/>
      <c r="D368" s="1">
        <v>46220</v>
      </c>
      <c r="E368" s="1">
        <v>46220</v>
      </c>
      <c r="F368" s="17">
        <v>46220</v>
      </c>
      <c r="G368" t="s">
        <v>184</v>
      </c>
      <c r="H368" t="s">
        <v>27</v>
      </c>
      <c r="I368" t="s">
        <v>107</v>
      </c>
      <c r="J368" s="30">
        <v>-2460.8000000000002</v>
      </c>
      <c r="K368" s="30">
        <v>0</v>
      </c>
      <c r="L368" s="33">
        <v>-2460.8000000000002</v>
      </c>
      <c r="M368" t="s">
        <v>185</v>
      </c>
      <c r="N368" s="39" t="s">
        <v>190</v>
      </c>
      <c r="O368" s="34" t="s">
        <v>477</v>
      </c>
      <c r="P368" t="s">
        <v>187</v>
      </c>
      <c r="Q368" t="s">
        <v>23</v>
      </c>
      <c r="R368" t="s">
        <v>23</v>
      </c>
      <c r="S368" t="s">
        <v>25</v>
      </c>
      <c r="T368" t="str">
        <f>_xlfn.XLOOKUP(Tabela14[[#This Row],[Categoria]],CATEGORIAS!$C:$C,CATEGORIAS!$D:$D,"")</f>
        <v>2.1 Despesas Diretas</v>
      </c>
    </row>
    <row r="369" spans="2:20" x14ac:dyDescent="0.25">
      <c r="B369"/>
      <c r="C369"/>
      <c r="D369" s="1">
        <v>46220</v>
      </c>
      <c r="E369" s="1">
        <v>46220</v>
      </c>
      <c r="F369" s="17">
        <v>46220</v>
      </c>
      <c r="G369" t="s">
        <v>184</v>
      </c>
      <c r="H369" t="s">
        <v>27</v>
      </c>
      <c r="I369" t="s">
        <v>109</v>
      </c>
      <c r="J369" s="30">
        <v>-1286.4000000000001</v>
      </c>
      <c r="K369" s="30">
        <v>0</v>
      </c>
      <c r="L369" s="33">
        <v>-1286.4000000000001</v>
      </c>
      <c r="M369" t="s">
        <v>185</v>
      </c>
      <c r="N369" s="39" t="s">
        <v>190</v>
      </c>
      <c r="O369" s="34" t="s">
        <v>478</v>
      </c>
      <c r="P369" t="s">
        <v>187</v>
      </c>
      <c r="Q369" t="s">
        <v>23</v>
      </c>
      <c r="R369" t="s">
        <v>23</v>
      </c>
      <c r="S369" t="s">
        <v>25</v>
      </c>
      <c r="T369" t="str">
        <f>_xlfn.XLOOKUP(Tabela14[[#This Row],[Categoria]],CATEGORIAS!$C:$C,CATEGORIAS!$D:$D,"")</f>
        <v>2.1 Despesas Diretas</v>
      </c>
    </row>
    <row r="370" spans="2:20" x14ac:dyDescent="0.25">
      <c r="B370"/>
      <c r="C370"/>
      <c r="D370" s="1">
        <v>46192</v>
      </c>
      <c r="E370" s="1">
        <v>46192</v>
      </c>
      <c r="F370" s="17">
        <v>46192</v>
      </c>
      <c r="G370" t="s">
        <v>184</v>
      </c>
      <c r="H370" t="s">
        <v>27</v>
      </c>
      <c r="I370" t="s">
        <v>90</v>
      </c>
      <c r="J370" s="30">
        <v>-152.96</v>
      </c>
      <c r="K370" s="30">
        <v>0</v>
      </c>
      <c r="L370" s="33">
        <v>-152.96</v>
      </c>
      <c r="M370" t="s">
        <v>185</v>
      </c>
      <c r="N370" s="39" t="s">
        <v>190</v>
      </c>
      <c r="O370" s="34" t="s">
        <v>474</v>
      </c>
      <c r="P370" t="s">
        <v>187</v>
      </c>
      <c r="Q370" t="s">
        <v>23</v>
      </c>
      <c r="R370" t="s">
        <v>23</v>
      </c>
      <c r="S370" t="s">
        <v>25</v>
      </c>
      <c r="T370" t="str">
        <f>_xlfn.XLOOKUP(Tabela14[[#This Row],[Categoria]],CATEGORIAS!$C:$C,CATEGORIAS!$D:$D,"")</f>
        <v>2.1 Despesas Diretas</v>
      </c>
    </row>
    <row r="371" spans="2:20" x14ac:dyDescent="0.25">
      <c r="B371"/>
      <c r="C371"/>
      <c r="D371" s="1">
        <v>46192</v>
      </c>
      <c r="E371" s="1">
        <v>46192</v>
      </c>
      <c r="F371" s="17">
        <v>46192</v>
      </c>
      <c r="G371" t="s">
        <v>184</v>
      </c>
      <c r="H371" t="s">
        <v>27</v>
      </c>
      <c r="I371" t="s">
        <v>90</v>
      </c>
      <c r="J371" s="30">
        <v>-1056</v>
      </c>
      <c r="K371" s="30">
        <v>0</v>
      </c>
      <c r="L371" s="33">
        <v>-1056</v>
      </c>
      <c r="M371" t="s">
        <v>185</v>
      </c>
      <c r="N371" s="39" t="s">
        <v>190</v>
      </c>
      <c r="O371" s="34" t="s">
        <v>460</v>
      </c>
      <c r="P371" t="s">
        <v>187</v>
      </c>
      <c r="Q371" t="s">
        <v>23</v>
      </c>
      <c r="R371" t="s">
        <v>23</v>
      </c>
      <c r="S371" t="s">
        <v>25</v>
      </c>
      <c r="T371" t="str">
        <f>_xlfn.XLOOKUP(Tabela14[[#This Row],[Categoria]],CATEGORIAS!$C:$C,CATEGORIAS!$D:$D,"")</f>
        <v>2.1 Despesas Diretas</v>
      </c>
    </row>
    <row r="372" spans="2:20" x14ac:dyDescent="0.25">
      <c r="B372"/>
      <c r="C372"/>
      <c r="D372" s="1">
        <v>46192</v>
      </c>
      <c r="E372" s="1">
        <v>46192</v>
      </c>
      <c r="F372" s="17">
        <v>46192</v>
      </c>
      <c r="G372" t="s">
        <v>184</v>
      </c>
      <c r="H372" t="s">
        <v>27</v>
      </c>
      <c r="I372" t="s">
        <v>90</v>
      </c>
      <c r="J372" s="30">
        <v>-252.48</v>
      </c>
      <c r="K372" s="30">
        <v>0</v>
      </c>
      <c r="L372" s="33">
        <v>-252.48</v>
      </c>
      <c r="M372" t="s">
        <v>185</v>
      </c>
      <c r="N372" s="39" t="s">
        <v>190</v>
      </c>
      <c r="O372" s="34" t="s">
        <v>461</v>
      </c>
      <c r="P372" t="s">
        <v>187</v>
      </c>
      <c r="Q372" t="s">
        <v>23</v>
      </c>
      <c r="R372" t="s">
        <v>23</v>
      </c>
      <c r="S372" t="s">
        <v>25</v>
      </c>
      <c r="T372" t="str">
        <f>_xlfn.XLOOKUP(Tabela14[[#This Row],[Categoria]],CATEGORIAS!$C:$C,CATEGORIAS!$D:$D,"")</f>
        <v>2.1 Despesas Diretas</v>
      </c>
    </row>
    <row r="373" spans="2:20" x14ac:dyDescent="0.25">
      <c r="B373"/>
      <c r="C373"/>
      <c r="D373" s="1">
        <v>46192</v>
      </c>
      <c r="E373" s="1">
        <v>46192</v>
      </c>
      <c r="F373" s="17">
        <v>46192</v>
      </c>
      <c r="G373" t="s">
        <v>184</v>
      </c>
      <c r="H373" t="s">
        <v>27</v>
      </c>
      <c r="I373" t="s">
        <v>90</v>
      </c>
      <c r="J373" s="30">
        <v>-479.68</v>
      </c>
      <c r="K373" s="30">
        <v>0</v>
      </c>
      <c r="L373" s="33">
        <v>-479.68</v>
      </c>
      <c r="M373" t="s">
        <v>185</v>
      </c>
      <c r="N373" s="39" t="s">
        <v>190</v>
      </c>
      <c r="O373" s="34" t="s">
        <v>476</v>
      </c>
      <c r="P373" t="s">
        <v>187</v>
      </c>
      <c r="Q373" t="s">
        <v>23</v>
      </c>
      <c r="R373" t="s">
        <v>23</v>
      </c>
      <c r="S373" t="s">
        <v>25</v>
      </c>
      <c r="T373" t="str">
        <f>_xlfn.XLOOKUP(Tabela14[[#This Row],[Categoria]],CATEGORIAS!$C:$C,CATEGORIAS!$D:$D,"")</f>
        <v>2.1 Despesas Diretas</v>
      </c>
    </row>
    <row r="374" spans="2:20" x14ac:dyDescent="0.25">
      <c r="B374"/>
      <c r="C374"/>
      <c r="D374" s="1">
        <v>46192</v>
      </c>
      <c r="E374" s="1">
        <v>46192</v>
      </c>
      <c r="F374" s="17">
        <v>46192</v>
      </c>
      <c r="G374" t="s">
        <v>184</v>
      </c>
      <c r="H374" t="s">
        <v>27</v>
      </c>
      <c r="I374" t="s">
        <v>94</v>
      </c>
      <c r="J374" s="30">
        <v>-382.08</v>
      </c>
      <c r="K374" s="30">
        <v>0</v>
      </c>
      <c r="L374" s="33">
        <v>-382.08</v>
      </c>
      <c r="M374" t="s">
        <v>185</v>
      </c>
      <c r="N374" s="39" t="s">
        <v>190</v>
      </c>
      <c r="O374" s="34" t="s">
        <v>459</v>
      </c>
      <c r="P374" t="s">
        <v>187</v>
      </c>
      <c r="Q374" t="s">
        <v>23</v>
      </c>
      <c r="R374" t="s">
        <v>23</v>
      </c>
      <c r="S374" t="s">
        <v>25</v>
      </c>
      <c r="T374" t="str">
        <f>_xlfn.XLOOKUP(Tabela14[[#This Row],[Categoria]],CATEGORIAS!$C:$C,CATEGORIAS!$D:$D,"")</f>
        <v>2.1 Despesas Diretas</v>
      </c>
    </row>
    <row r="375" spans="2:20" x14ac:dyDescent="0.25">
      <c r="B375"/>
      <c r="C375"/>
      <c r="D375" s="1">
        <v>46192</v>
      </c>
      <c r="E375" s="1">
        <v>46192</v>
      </c>
      <c r="F375" s="17">
        <v>46192</v>
      </c>
      <c r="G375" t="s">
        <v>184</v>
      </c>
      <c r="H375" t="s">
        <v>27</v>
      </c>
      <c r="I375" t="s">
        <v>109</v>
      </c>
      <c r="J375" s="30">
        <v>-1286.4000000000001</v>
      </c>
      <c r="K375" s="30">
        <v>0</v>
      </c>
      <c r="L375" s="33">
        <v>-1286.4000000000001</v>
      </c>
      <c r="M375" t="s">
        <v>185</v>
      </c>
      <c r="N375" s="39" t="s">
        <v>190</v>
      </c>
      <c r="O375" s="34" t="s">
        <v>478</v>
      </c>
      <c r="P375" t="s">
        <v>187</v>
      </c>
      <c r="Q375" t="s">
        <v>23</v>
      </c>
      <c r="R375" t="s">
        <v>23</v>
      </c>
      <c r="S375" t="s">
        <v>25</v>
      </c>
      <c r="T375" t="str">
        <f>_xlfn.XLOOKUP(Tabela14[[#This Row],[Categoria]],CATEGORIAS!$C:$C,CATEGORIAS!$D:$D,"")</f>
        <v>2.1 Despesas Diretas</v>
      </c>
    </row>
    <row r="376" spans="2:20" x14ac:dyDescent="0.25">
      <c r="B376"/>
      <c r="C376"/>
      <c r="D376" s="1">
        <v>46192</v>
      </c>
      <c r="E376" s="1">
        <v>46192</v>
      </c>
      <c r="F376" s="17">
        <v>46192</v>
      </c>
      <c r="G376" t="s">
        <v>184</v>
      </c>
      <c r="H376" t="s">
        <v>27</v>
      </c>
      <c r="I376" t="s">
        <v>107</v>
      </c>
      <c r="J376" s="30">
        <v>-2460.8000000000002</v>
      </c>
      <c r="K376" s="30">
        <v>0</v>
      </c>
      <c r="L376" s="33">
        <v>-2460.8000000000002</v>
      </c>
      <c r="M376" t="s">
        <v>185</v>
      </c>
      <c r="N376" s="39" t="s">
        <v>190</v>
      </c>
      <c r="O376" s="34" t="s">
        <v>477</v>
      </c>
      <c r="P376" t="s">
        <v>187</v>
      </c>
      <c r="Q376" t="s">
        <v>23</v>
      </c>
      <c r="R376" t="s">
        <v>23</v>
      </c>
      <c r="S376" t="s">
        <v>25</v>
      </c>
      <c r="T376" t="str">
        <f>_xlfn.XLOOKUP(Tabela14[[#This Row],[Categoria]],CATEGORIAS!$C:$C,CATEGORIAS!$D:$D,"")</f>
        <v>2.1 Despesas Diretas</v>
      </c>
    </row>
    <row r="377" spans="2:20" x14ac:dyDescent="0.25">
      <c r="B377"/>
      <c r="C377"/>
      <c r="D377" s="1">
        <v>46192</v>
      </c>
      <c r="E377" s="1">
        <v>46192</v>
      </c>
      <c r="F377" s="17">
        <v>46192</v>
      </c>
      <c r="G377" t="s">
        <v>184</v>
      </c>
      <c r="H377" t="s">
        <v>27</v>
      </c>
      <c r="I377" t="s">
        <v>90</v>
      </c>
      <c r="J377" s="30">
        <v>-76.16</v>
      </c>
      <c r="K377" s="30">
        <v>0</v>
      </c>
      <c r="L377" s="33">
        <v>-76.16</v>
      </c>
      <c r="M377" t="s">
        <v>185</v>
      </c>
      <c r="N377" s="39" t="s">
        <v>190</v>
      </c>
      <c r="O377" s="34" t="s">
        <v>463</v>
      </c>
      <c r="P377" t="s">
        <v>187</v>
      </c>
      <c r="Q377" t="s">
        <v>23</v>
      </c>
      <c r="R377" t="s">
        <v>23</v>
      </c>
      <c r="S377" t="s">
        <v>25</v>
      </c>
      <c r="T377" t="str">
        <f>_xlfn.XLOOKUP(Tabela14[[#This Row],[Categoria]],CATEGORIAS!$C:$C,CATEGORIAS!$D:$D,"")</f>
        <v>2.1 Despesas Diretas</v>
      </c>
    </row>
    <row r="378" spans="2:20" x14ac:dyDescent="0.25">
      <c r="B378"/>
      <c r="C378"/>
      <c r="D378" s="1">
        <v>46192</v>
      </c>
      <c r="E378" s="1">
        <v>46192</v>
      </c>
      <c r="F378" s="17">
        <v>46192</v>
      </c>
      <c r="G378" t="s">
        <v>184</v>
      </c>
      <c r="H378" t="s">
        <v>27</v>
      </c>
      <c r="I378" t="s">
        <v>107</v>
      </c>
      <c r="J378" s="30">
        <v>-2332.8000000000002</v>
      </c>
      <c r="K378" s="30">
        <v>0</v>
      </c>
      <c r="L378" s="33">
        <v>-2332.8000000000002</v>
      </c>
      <c r="M378" t="s">
        <v>185</v>
      </c>
      <c r="N378" s="39" t="s">
        <v>190</v>
      </c>
      <c r="O378" s="34" t="s">
        <v>475</v>
      </c>
      <c r="P378" t="s">
        <v>187</v>
      </c>
      <c r="Q378" t="s">
        <v>23</v>
      </c>
      <c r="R378" t="s">
        <v>23</v>
      </c>
      <c r="S378" t="s">
        <v>25</v>
      </c>
      <c r="T378" t="str">
        <f>_xlfn.XLOOKUP(Tabela14[[#This Row],[Categoria]],CATEGORIAS!$C:$C,CATEGORIAS!$D:$D,"")</f>
        <v>2.1 Despesas Diretas</v>
      </c>
    </row>
    <row r="379" spans="2:20" x14ac:dyDescent="0.25">
      <c r="B379"/>
      <c r="C379"/>
      <c r="D379" s="1">
        <v>46220</v>
      </c>
      <c r="E379" s="1">
        <v>46220</v>
      </c>
      <c r="F379" s="17">
        <v>46220</v>
      </c>
      <c r="G379" t="s">
        <v>184</v>
      </c>
      <c r="H379" t="s">
        <v>27</v>
      </c>
      <c r="I379" t="s">
        <v>90</v>
      </c>
      <c r="J379" s="30">
        <v>-1056</v>
      </c>
      <c r="K379" s="30">
        <v>0</v>
      </c>
      <c r="L379" s="33">
        <v>-1056</v>
      </c>
      <c r="M379" t="s">
        <v>185</v>
      </c>
      <c r="N379" s="39" t="s">
        <v>190</v>
      </c>
      <c r="O379" s="34" t="s">
        <v>460</v>
      </c>
      <c r="P379" t="s">
        <v>187</v>
      </c>
      <c r="Q379" t="s">
        <v>23</v>
      </c>
      <c r="R379" t="s">
        <v>23</v>
      </c>
      <c r="S379" t="s">
        <v>25</v>
      </c>
      <c r="T379" t="str">
        <f>_xlfn.XLOOKUP(Tabela14[[#This Row],[Categoria]],CATEGORIAS!$C:$C,CATEGORIAS!$D:$D,"")</f>
        <v>2.1 Despesas Diretas</v>
      </c>
    </row>
    <row r="380" spans="2:20" x14ac:dyDescent="0.25">
      <c r="B380"/>
      <c r="C380"/>
      <c r="D380" s="1">
        <v>46220</v>
      </c>
      <c r="E380" s="1">
        <v>46220</v>
      </c>
      <c r="F380" s="17">
        <v>46220</v>
      </c>
      <c r="G380" t="s">
        <v>184</v>
      </c>
      <c r="H380" t="s">
        <v>27</v>
      </c>
      <c r="I380" t="s">
        <v>90</v>
      </c>
      <c r="J380" s="30">
        <v>-76.16</v>
      </c>
      <c r="K380" s="30">
        <v>0</v>
      </c>
      <c r="L380" s="33">
        <v>-76.16</v>
      </c>
      <c r="M380" t="s">
        <v>185</v>
      </c>
      <c r="N380" s="39" t="s">
        <v>190</v>
      </c>
      <c r="O380" s="34" t="s">
        <v>463</v>
      </c>
      <c r="P380" t="s">
        <v>187</v>
      </c>
      <c r="Q380" t="s">
        <v>23</v>
      </c>
      <c r="R380" t="s">
        <v>23</v>
      </c>
      <c r="S380" t="s">
        <v>25</v>
      </c>
      <c r="T380" t="str">
        <f>_xlfn.XLOOKUP(Tabela14[[#This Row],[Categoria]],CATEGORIAS!$C:$C,CATEGORIAS!$D:$D,"")</f>
        <v>2.1 Despesas Diretas</v>
      </c>
    </row>
    <row r="381" spans="2:20" x14ac:dyDescent="0.25">
      <c r="B381"/>
      <c r="C381"/>
      <c r="D381" s="1">
        <v>46220</v>
      </c>
      <c r="E381" s="1">
        <v>46220</v>
      </c>
      <c r="F381" s="17">
        <v>46220</v>
      </c>
      <c r="G381" t="s">
        <v>184</v>
      </c>
      <c r="H381" t="s">
        <v>27</v>
      </c>
      <c r="I381" t="s">
        <v>109</v>
      </c>
      <c r="J381" s="30">
        <v>-1523.52</v>
      </c>
      <c r="K381" s="30">
        <v>0</v>
      </c>
      <c r="L381" s="33">
        <v>-1523.52</v>
      </c>
      <c r="M381" t="s">
        <v>185</v>
      </c>
      <c r="N381" s="39" t="s">
        <v>190</v>
      </c>
      <c r="O381" s="34" t="s">
        <v>479</v>
      </c>
      <c r="P381" t="s">
        <v>187</v>
      </c>
      <c r="Q381" t="s">
        <v>23</v>
      </c>
      <c r="R381" t="s">
        <v>23</v>
      </c>
      <c r="S381" t="s">
        <v>25</v>
      </c>
      <c r="T381" t="str">
        <f>_xlfn.XLOOKUP(Tabela14[[#This Row],[Categoria]],CATEGORIAS!$C:$C,CATEGORIAS!$D:$D,"")</f>
        <v>2.1 Despesas Diretas</v>
      </c>
    </row>
    <row r="382" spans="2:20" x14ac:dyDescent="0.25">
      <c r="B382"/>
      <c r="C382"/>
      <c r="D382" s="1">
        <v>46220</v>
      </c>
      <c r="E382" s="1">
        <v>46220</v>
      </c>
      <c r="F382" s="17">
        <v>46220</v>
      </c>
      <c r="G382" t="s">
        <v>184</v>
      </c>
      <c r="H382" t="s">
        <v>27</v>
      </c>
      <c r="I382" t="s">
        <v>107</v>
      </c>
      <c r="J382" s="30">
        <v>-4872</v>
      </c>
      <c r="K382" s="30">
        <v>0</v>
      </c>
      <c r="L382" s="33">
        <v>-4872</v>
      </c>
      <c r="M382" t="s">
        <v>185</v>
      </c>
      <c r="N382" s="39" t="s">
        <v>190</v>
      </c>
      <c r="O382" s="34" t="s">
        <v>480</v>
      </c>
      <c r="P382" t="s">
        <v>187</v>
      </c>
      <c r="Q382" t="s">
        <v>23</v>
      </c>
      <c r="R382" t="s">
        <v>23</v>
      </c>
      <c r="S382" t="s">
        <v>25</v>
      </c>
      <c r="T382" t="str">
        <f>_xlfn.XLOOKUP(Tabela14[[#This Row],[Categoria]],CATEGORIAS!$C:$C,CATEGORIAS!$D:$D,"")</f>
        <v>2.1 Despesas Diretas</v>
      </c>
    </row>
    <row r="383" spans="2:20" x14ac:dyDescent="0.25">
      <c r="B383"/>
      <c r="C383"/>
      <c r="D383" s="1">
        <v>46220</v>
      </c>
      <c r="E383" s="1">
        <v>46220</v>
      </c>
      <c r="F383" s="17">
        <v>46220</v>
      </c>
      <c r="G383" t="s">
        <v>184</v>
      </c>
      <c r="H383" t="s">
        <v>27</v>
      </c>
      <c r="I383" t="s">
        <v>90</v>
      </c>
      <c r="J383" s="30">
        <v>-959.36</v>
      </c>
      <c r="K383" s="30">
        <v>0</v>
      </c>
      <c r="L383" s="33">
        <v>-959.36</v>
      </c>
      <c r="M383" t="s">
        <v>185</v>
      </c>
      <c r="N383" s="39" t="s">
        <v>190</v>
      </c>
      <c r="O383" s="34" t="s">
        <v>476</v>
      </c>
      <c r="P383" t="s">
        <v>187</v>
      </c>
      <c r="Q383" t="s">
        <v>23</v>
      </c>
      <c r="R383" t="s">
        <v>23</v>
      </c>
      <c r="S383" t="s">
        <v>25</v>
      </c>
      <c r="T383" t="str">
        <f>_xlfn.XLOOKUP(Tabela14[[#This Row],[Categoria]],CATEGORIAS!$C:$C,CATEGORIAS!$D:$D,"")</f>
        <v>2.1 Despesas Diretas</v>
      </c>
    </row>
    <row r="384" spans="2:20" x14ac:dyDescent="0.25">
      <c r="B384"/>
      <c r="C384"/>
      <c r="D384" s="1">
        <v>46192</v>
      </c>
      <c r="E384" s="1">
        <v>46192</v>
      </c>
      <c r="F384" s="17">
        <v>46192</v>
      </c>
      <c r="G384" t="s">
        <v>184</v>
      </c>
      <c r="H384" t="s">
        <v>27</v>
      </c>
      <c r="I384" t="s">
        <v>109</v>
      </c>
      <c r="J384" s="30">
        <v>-1523.52</v>
      </c>
      <c r="K384" s="30">
        <v>0</v>
      </c>
      <c r="L384" s="33">
        <v>-1523.52</v>
      </c>
      <c r="M384" t="s">
        <v>185</v>
      </c>
      <c r="N384" s="39" t="s">
        <v>190</v>
      </c>
      <c r="O384" s="34" t="s">
        <v>479</v>
      </c>
      <c r="P384" t="s">
        <v>187</v>
      </c>
      <c r="Q384" t="s">
        <v>23</v>
      </c>
      <c r="R384" t="s">
        <v>23</v>
      </c>
      <c r="S384" t="s">
        <v>25</v>
      </c>
      <c r="T384" t="str">
        <f>_xlfn.XLOOKUP(Tabela14[[#This Row],[Categoria]],CATEGORIAS!$C:$C,CATEGORIAS!$D:$D,"")</f>
        <v>2.1 Despesas Diretas</v>
      </c>
    </row>
    <row r="385" spans="2:20" x14ac:dyDescent="0.25">
      <c r="B385"/>
      <c r="C385"/>
      <c r="D385" s="1">
        <v>46192</v>
      </c>
      <c r="E385" s="1">
        <v>46192</v>
      </c>
      <c r="F385" s="17">
        <v>46192</v>
      </c>
      <c r="G385" t="s">
        <v>184</v>
      </c>
      <c r="H385" t="s">
        <v>27</v>
      </c>
      <c r="I385" t="s">
        <v>90</v>
      </c>
      <c r="J385" s="30">
        <v>-1056</v>
      </c>
      <c r="K385" s="30">
        <v>0</v>
      </c>
      <c r="L385" s="33">
        <v>-1056</v>
      </c>
      <c r="M385" t="s">
        <v>185</v>
      </c>
      <c r="N385" s="39" t="s">
        <v>190</v>
      </c>
      <c r="O385" s="34" t="s">
        <v>460</v>
      </c>
      <c r="P385" t="s">
        <v>187</v>
      </c>
      <c r="Q385" t="s">
        <v>23</v>
      </c>
      <c r="R385" t="s">
        <v>23</v>
      </c>
      <c r="S385" t="s">
        <v>25</v>
      </c>
      <c r="T385" t="str">
        <f>_xlfn.XLOOKUP(Tabela14[[#This Row],[Categoria]],CATEGORIAS!$C:$C,CATEGORIAS!$D:$D,"")</f>
        <v>2.1 Despesas Diretas</v>
      </c>
    </row>
    <row r="386" spans="2:20" x14ac:dyDescent="0.25">
      <c r="B386"/>
      <c r="C386"/>
      <c r="D386" s="1">
        <v>46192</v>
      </c>
      <c r="E386" s="1">
        <v>46192</v>
      </c>
      <c r="F386" s="17">
        <v>46192</v>
      </c>
      <c r="G386" t="s">
        <v>184</v>
      </c>
      <c r="H386" t="s">
        <v>27</v>
      </c>
      <c r="I386" t="s">
        <v>90</v>
      </c>
      <c r="J386" s="30">
        <v>-76.16</v>
      </c>
      <c r="K386" s="30">
        <v>0</v>
      </c>
      <c r="L386" s="33">
        <v>-76.16</v>
      </c>
      <c r="M386" t="s">
        <v>185</v>
      </c>
      <c r="N386" s="39" t="s">
        <v>190</v>
      </c>
      <c r="O386" s="34" t="s">
        <v>463</v>
      </c>
      <c r="P386" t="s">
        <v>187</v>
      </c>
      <c r="Q386" t="s">
        <v>23</v>
      </c>
      <c r="R386" t="s">
        <v>23</v>
      </c>
      <c r="S386" t="s">
        <v>25</v>
      </c>
      <c r="T386" t="str">
        <f>_xlfn.XLOOKUP(Tabela14[[#This Row],[Categoria]],CATEGORIAS!$C:$C,CATEGORIAS!$D:$D,"")</f>
        <v>2.1 Despesas Diretas</v>
      </c>
    </row>
    <row r="387" spans="2:20" x14ac:dyDescent="0.25">
      <c r="B387"/>
      <c r="C387"/>
      <c r="D387" s="1">
        <v>46192</v>
      </c>
      <c r="E387" s="1">
        <v>46192</v>
      </c>
      <c r="F387" s="17">
        <v>46192</v>
      </c>
      <c r="G387" t="s">
        <v>184</v>
      </c>
      <c r="H387" t="s">
        <v>27</v>
      </c>
      <c r="I387" t="s">
        <v>107</v>
      </c>
      <c r="J387" s="30">
        <v>-4872</v>
      </c>
      <c r="K387" s="30">
        <v>0</v>
      </c>
      <c r="L387" s="33">
        <v>-4872</v>
      </c>
      <c r="M387" t="s">
        <v>185</v>
      </c>
      <c r="N387" s="39" t="s">
        <v>190</v>
      </c>
      <c r="O387" s="34" t="s">
        <v>480</v>
      </c>
      <c r="P387" t="s">
        <v>187</v>
      </c>
      <c r="Q387" t="s">
        <v>23</v>
      </c>
      <c r="R387" t="s">
        <v>23</v>
      </c>
      <c r="S387" t="s">
        <v>25</v>
      </c>
      <c r="T387" t="str">
        <f>_xlfn.XLOOKUP(Tabela14[[#This Row],[Categoria]],CATEGORIAS!$C:$C,CATEGORIAS!$D:$D,"")</f>
        <v>2.1 Despesas Diretas</v>
      </c>
    </row>
    <row r="388" spans="2:20" x14ac:dyDescent="0.25">
      <c r="B388"/>
      <c r="C388"/>
      <c r="D388" s="1">
        <v>46192</v>
      </c>
      <c r="E388" s="1">
        <v>46192</v>
      </c>
      <c r="F388" s="17">
        <v>46192</v>
      </c>
      <c r="G388" t="s">
        <v>184</v>
      </c>
      <c r="H388" t="s">
        <v>27</v>
      </c>
      <c r="I388" t="s">
        <v>90</v>
      </c>
      <c r="J388" s="30">
        <v>-959.36</v>
      </c>
      <c r="K388" s="30">
        <v>0</v>
      </c>
      <c r="L388" s="33">
        <v>-959.36</v>
      </c>
      <c r="M388" t="s">
        <v>185</v>
      </c>
      <c r="N388" s="39" t="s">
        <v>190</v>
      </c>
      <c r="O388" s="34" t="s">
        <v>476</v>
      </c>
      <c r="P388" t="s">
        <v>187</v>
      </c>
      <c r="Q388" t="s">
        <v>23</v>
      </c>
      <c r="R388" t="s">
        <v>23</v>
      </c>
      <c r="S388" t="s">
        <v>25</v>
      </c>
      <c r="T388" t="str">
        <f>_xlfn.XLOOKUP(Tabela14[[#This Row],[Categoria]],CATEGORIAS!$C:$C,CATEGORIAS!$D:$D,"")</f>
        <v>2.1 Despesas Diretas</v>
      </c>
    </row>
    <row r="389" spans="2:20" x14ac:dyDescent="0.25">
      <c r="B389"/>
      <c r="C389"/>
      <c r="D389" s="1">
        <v>46220</v>
      </c>
      <c r="E389" s="1">
        <v>46220</v>
      </c>
      <c r="F389" s="17">
        <v>46220</v>
      </c>
      <c r="G389" t="s">
        <v>184</v>
      </c>
      <c r="H389" t="s">
        <v>27</v>
      </c>
      <c r="I389" t="s">
        <v>90</v>
      </c>
      <c r="J389" s="30">
        <v>-204.8</v>
      </c>
      <c r="K389" s="30">
        <v>0</v>
      </c>
      <c r="L389" s="33">
        <v>-204.8</v>
      </c>
      <c r="M389" t="s">
        <v>185</v>
      </c>
      <c r="N389" s="39" t="s">
        <v>190</v>
      </c>
      <c r="O389" s="34" t="s">
        <v>481</v>
      </c>
      <c r="P389" t="s">
        <v>187</v>
      </c>
      <c r="Q389" t="s">
        <v>23</v>
      </c>
      <c r="R389" t="s">
        <v>23</v>
      </c>
      <c r="S389" t="s">
        <v>25</v>
      </c>
      <c r="T389" t="str">
        <f>_xlfn.XLOOKUP(Tabela14[[#This Row],[Categoria]],CATEGORIAS!$C:$C,CATEGORIAS!$D:$D,"")</f>
        <v>2.1 Despesas Diretas</v>
      </c>
    </row>
    <row r="390" spans="2:20" x14ac:dyDescent="0.25">
      <c r="B390"/>
      <c r="C390"/>
      <c r="D390" s="1">
        <v>46220</v>
      </c>
      <c r="E390" s="1">
        <v>46220</v>
      </c>
      <c r="F390" s="17">
        <v>46220</v>
      </c>
      <c r="G390" t="s">
        <v>184</v>
      </c>
      <c r="H390" t="s">
        <v>27</v>
      </c>
      <c r="I390" t="s">
        <v>90</v>
      </c>
      <c r="J390" s="30">
        <v>-609.6</v>
      </c>
      <c r="K390" s="30">
        <v>0</v>
      </c>
      <c r="L390" s="33">
        <v>-609.6</v>
      </c>
      <c r="M390" t="s">
        <v>185</v>
      </c>
      <c r="N390" s="39" t="s">
        <v>190</v>
      </c>
      <c r="O390" s="34" t="s">
        <v>482</v>
      </c>
      <c r="P390" t="s">
        <v>187</v>
      </c>
      <c r="Q390" t="s">
        <v>23</v>
      </c>
      <c r="R390" t="s">
        <v>23</v>
      </c>
      <c r="S390" t="s">
        <v>25</v>
      </c>
      <c r="T390" t="str">
        <f>_xlfn.XLOOKUP(Tabela14[[#This Row],[Categoria]],CATEGORIAS!$C:$C,CATEGORIAS!$D:$D,"")</f>
        <v>2.1 Despesas Diretas</v>
      </c>
    </row>
    <row r="391" spans="2:20" x14ac:dyDescent="0.25">
      <c r="B391"/>
      <c r="C391"/>
      <c r="D391" s="1">
        <v>46220</v>
      </c>
      <c r="E391" s="1">
        <v>46220</v>
      </c>
      <c r="F391" s="17">
        <v>46220</v>
      </c>
      <c r="G391" t="s">
        <v>184</v>
      </c>
      <c r="H391" t="s">
        <v>27</v>
      </c>
      <c r="I391" t="s">
        <v>90</v>
      </c>
      <c r="J391" s="30">
        <v>-1219.2</v>
      </c>
      <c r="K391" s="30">
        <v>0</v>
      </c>
      <c r="L391" s="33">
        <v>-1219.2</v>
      </c>
      <c r="M391" t="s">
        <v>185</v>
      </c>
      <c r="N391" s="39" t="s">
        <v>190</v>
      </c>
      <c r="O391" s="34" t="s">
        <v>483</v>
      </c>
      <c r="P391" t="s">
        <v>187</v>
      </c>
      <c r="Q391" t="s">
        <v>23</v>
      </c>
      <c r="R391" t="s">
        <v>23</v>
      </c>
      <c r="S391" t="s">
        <v>25</v>
      </c>
      <c r="T391" t="str">
        <f>_xlfn.XLOOKUP(Tabela14[[#This Row],[Categoria]],CATEGORIAS!$C:$C,CATEGORIAS!$D:$D,"")</f>
        <v>2.1 Despesas Diretas</v>
      </c>
    </row>
    <row r="392" spans="2:20" x14ac:dyDescent="0.25">
      <c r="B392"/>
      <c r="C392"/>
      <c r="D392" s="1">
        <v>46220</v>
      </c>
      <c r="E392" s="1">
        <v>46220</v>
      </c>
      <c r="F392" s="17">
        <v>46220</v>
      </c>
      <c r="G392" t="s">
        <v>184</v>
      </c>
      <c r="H392" t="s">
        <v>27</v>
      </c>
      <c r="I392" t="s">
        <v>90</v>
      </c>
      <c r="J392" s="30">
        <v>-323.2</v>
      </c>
      <c r="K392" s="30">
        <v>0</v>
      </c>
      <c r="L392" s="33">
        <v>-323.2</v>
      </c>
      <c r="M392" t="s">
        <v>185</v>
      </c>
      <c r="N392" s="39" t="s">
        <v>190</v>
      </c>
      <c r="O392" s="34" t="s">
        <v>484</v>
      </c>
      <c r="P392" t="s">
        <v>187</v>
      </c>
      <c r="Q392" t="s">
        <v>23</v>
      </c>
      <c r="R392" t="s">
        <v>23</v>
      </c>
      <c r="S392" t="s">
        <v>25</v>
      </c>
      <c r="T392" t="str">
        <f>_xlfn.XLOOKUP(Tabela14[[#This Row],[Categoria]],CATEGORIAS!$C:$C,CATEGORIAS!$D:$D,"")</f>
        <v>2.1 Despesas Diretas</v>
      </c>
    </row>
    <row r="393" spans="2:20" x14ac:dyDescent="0.25">
      <c r="B393"/>
      <c r="C393"/>
      <c r="D393" s="1">
        <v>46192</v>
      </c>
      <c r="E393" s="1">
        <v>46192</v>
      </c>
      <c r="F393" s="17">
        <v>46192</v>
      </c>
      <c r="G393" t="s">
        <v>184</v>
      </c>
      <c r="H393" t="s">
        <v>27</v>
      </c>
      <c r="I393" t="s">
        <v>90</v>
      </c>
      <c r="J393" s="30">
        <v>-204.8</v>
      </c>
      <c r="K393" s="30">
        <v>0</v>
      </c>
      <c r="L393" s="33">
        <v>-204.8</v>
      </c>
      <c r="M393" t="s">
        <v>185</v>
      </c>
      <c r="N393" s="39" t="s">
        <v>190</v>
      </c>
      <c r="O393" s="34" t="s">
        <v>481</v>
      </c>
      <c r="P393" t="s">
        <v>187</v>
      </c>
      <c r="Q393" t="s">
        <v>23</v>
      </c>
      <c r="R393" t="s">
        <v>23</v>
      </c>
      <c r="S393" t="s">
        <v>25</v>
      </c>
      <c r="T393" t="str">
        <f>_xlfn.XLOOKUP(Tabela14[[#This Row],[Categoria]],CATEGORIAS!$C:$C,CATEGORIAS!$D:$D,"")</f>
        <v>2.1 Despesas Diretas</v>
      </c>
    </row>
    <row r="394" spans="2:20" x14ac:dyDescent="0.25">
      <c r="B394"/>
      <c r="C394"/>
      <c r="D394" s="1">
        <v>46192</v>
      </c>
      <c r="E394" s="1">
        <v>46192</v>
      </c>
      <c r="F394" s="17">
        <v>46192</v>
      </c>
      <c r="G394" t="s">
        <v>184</v>
      </c>
      <c r="H394" t="s">
        <v>27</v>
      </c>
      <c r="I394" t="s">
        <v>90</v>
      </c>
      <c r="J394" s="30">
        <v>-609.6</v>
      </c>
      <c r="K394" s="30">
        <v>0</v>
      </c>
      <c r="L394" s="33">
        <v>-609.6</v>
      </c>
      <c r="M394" t="s">
        <v>185</v>
      </c>
      <c r="N394" s="39" t="s">
        <v>190</v>
      </c>
      <c r="O394" s="34" t="s">
        <v>482</v>
      </c>
      <c r="P394" t="s">
        <v>187</v>
      </c>
      <c r="Q394" t="s">
        <v>23</v>
      </c>
      <c r="R394" t="s">
        <v>23</v>
      </c>
      <c r="S394" t="s">
        <v>25</v>
      </c>
      <c r="T394" t="str">
        <f>_xlfn.XLOOKUP(Tabela14[[#This Row],[Categoria]],CATEGORIAS!$C:$C,CATEGORIAS!$D:$D,"")</f>
        <v>2.1 Despesas Diretas</v>
      </c>
    </row>
    <row r="395" spans="2:20" x14ac:dyDescent="0.25">
      <c r="B395"/>
      <c r="C395"/>
      <c r="D395" s="1">
        <v>46192</v>
      </c>
      <c r="E395" s="1">
        <v>46192</v>
      </c>
      <c r="F395" s="17">
        <v>46192</v>
      </c>
      <c r="G395" t="s">
        <v>184</v>
      </c>
      <c r="H395" t="s">
        <v>27</v>
      </c>
      <c r="I395" t="s">
        <v>90</v>
      </c>
      <c r="J395" s="30">
        <v>-1219.2</v>
      </c>
      <c r="K395" s="30">
        <v>0</v>
      </c>
      <c r="L395" s="33">
        <v>-1219.2</v>
      </c>
      <c r="M395" t="s">
        <v>185</v>
      </c>
      <c r="N395" s="39" t="s">
        <v>190</v>
      </c>
      <c r="O395" s="34" t="s">
        <v>483</v>
      </c>
      <c r="P395" t="s">
        <v>187</v>
      </c>
      <c r="Q395" t="s">
        <v>23</v>
      </c>
      <c r="R395" t="s">
        <v>23</v>
      </c>
      <c r="S395" t="s">
        <v>25</v>
      </c>
      <c r="T395" t="str">
        <f>_xlfn.XLOOKUP(Tabela14[[#This Row],[Categoria]],CATEGORIAS!$C:$C,CATEGORIAS!$D:$D,"")</f>
        <v>2.1 Despesas Diretas</v>
      </c>
    </row>
    <row r="396" spans="2:20" x14ac:dyDescent="0.25">
      <c r="B396"/>
      <c r="C396"/>
      <c r="D396" s="1">
        <v>46192</v>
      </c>
      <c r="E396" s="1">
        <v>46192</v>
      </c>
      <c r="F396" s="17">
        <v>46192</v>
      </c>
      <c r="G396" t="s">
        <v>184</v>
      </c>
      <c r="H396" t="s">
        <v>27</v>
      </c>
      <c r="I396" t="s">
        <v>90</v>
      </c>
      <c r="J396" s="30">
        <v>-323.2</v>
      </c>
      <c r="K396" s="30">
        <v>0</v>
      </c>
      <c r="L396" s="33">
        <v>-323.2</v>
      </c>
      <c r="M396" t="s">
        <v>185</v>
      </c>
      <c r="N396" s="39" t="s">
        <v>190</v>
      </c>
      <c r="O396" s="34" t="s">
        <v>484</v>
      </c>
      <c r="P396" t="s">
        <v>187</v>
      </c>
      <c r="Q396" t="s">
        <v>23</v>
      </c>
      <c r="R396" t="s">
        <v>23</v>
      </c>
      <c r="S396" t="s">
        <v>25</v>
      </c>
      <c r="T396" t="str">
        <f>_xlfn.XLOOKUP(Tabela14[[#This Row],[Categoria]],CATEGORIAS!$C:$C,CATEGORIAS!$D:$D,"")</f>
        <v>2.1 Despesas Diretas</v>
      </c>
    </row>
    <row r="397" spans="2:20" x14ac:dyDescent="0.25">
      <c r="B397"/>
      <c r="C397"/>
      <c r="D397" s="1">
        <v>46178</v>
      </c>
      <c r="E397" s="1">
        <v>46178</v>
      </c>
      <c r="F397" s="17">
        <v>46182</v>
      </c>
      <c r="G397" t="s">
        <v>184</v>
      </c>
      <c r="H397" t="s">
        <v>27</v>
      </c>
      <c r="I397" t="s">
        <v>91</v>
      </c>
      <c r="J397" s="30">
        <v>-1439.23</v>
      </c>
      <c r="K397" s="30">
        <v>0</v>
      </c>
      <c r="L397" s="33">
        <v>-1439.23</v>
      </c>
      <c r="M397" t="s">
        <v>185</v>
      </c>
      <c r="N397" t="s">
        <v>190</v>
      </c>
      <c r="O397" s="34" t="s">
        <v>485</v>
      </c>
      <c r="P397" t="s">
        <v>187</v>
      </c>
      <c r="Q397" t="s">
        <v>23</v>
      </c>
      <c r="R397" t="s">
        <v>23</v>
      </c>
      <c r="S397" t="s">
        <v>25</v>
      </c>
      <c r="T397" t="str">
        <f>_xlfn.XLOOKUP(Tabela14[[#This Row],[Categoria]],CATEGORIAS!$C:$C,CATEGORIAS!$D:$D,"")</f>
        <v>2.1 Despesas Diretas</v>
      </c>
    </row>
    <row r="398" spans="2:20" x14ac:dyDescent="0.25">
      <c r="B398"/>
      <c r="C398"/>
      <c r="D398" s="1">
        <v>46220</v>
      </c>
      <c r="E398" s="1">
        <v>46220</v>
      </c>
      <c r="F398" s="17">
        <v>46220</v>
      </c>
      <c r="G398" t="s">
        <v>184</v>
      </c>
      <c r="H398" t="s">
        <v>27</v>
      </c>
      <c r="I398" t="s">
        <v>108</v>
      </c>
      <c r="J398" s="30">
        <v>-7996.8</v>
      </c>
      <c r="K398" s="30">
        <v>0</v>
      </c>
      <c r="L398" s="33">
        <v>-7996.8</v>
      </c>
      <c r="M398" t="s">
        <v>185</v>
      </c>
      <c r="N398" t="s">
        <v>190</v>
      </c>
      <c r="O398" s="34" t="s">
        <v>486</v>
      </c>
      <c r="P398" t="s">
        <v>187</v>
      </c>
      <c r="Q398" t="s">
        <v>23</v>
      </c>
      <c r="R398" t="s">
        <v>23</v>
      </c>
      <c r="S398" t="s">
        <v>25</v>
      </c>
      <c r="T398" t="str">
        <f>_xlfn.XLOOKUP(Tabela14[[#This Row],[Categoria]],CATEGORIAS!$C:$C,CATEGORIAS!$D:$D,"")</f>
        <v>2.1 Despesas Diretas</v>
      </c>
    </row>
    <row r="399" spans="2:20" x14ac:dyDescent="0.25">
      <c r="B399"/>
      <c r="C399"/>
      <c r="D399" s="1">
        <v>46220</v>
      </c>
      <c r="E399" s="1">
        <v>46220</v>
      </c>
      <c r="F399" s="17">
        <v>46220</v>
      </c>
      <c r="G399" t="s">
        <v>184</v>
      </c>
      <c r="H399" t="s">
        <v>27</v>
      </c>
      <c r="I399" t="s">
        <v>109</v>
      </c>
      <c r="J399" s="30">
        <v>-1820.8</v>
      </c>
      <c r="K399" s="30">
        <v>0</v>
      </c>
      <c r="L399" s="33">
        <v>-1820.8</v>
      </c>
      <c r="M399" t="s">
        <v>185</v>
      </c>
      <c r="N399" t="s">
        <v>190</v>
      </c>
      <c r="O399" s="34" t="s">
        <v>487</v>
      </c>
      <c r="P399" t="s">
        <v>187</v>
      </c>
      <c r="Q399" t="s">
        <v>23</v>
      </c>
      <c r="R399" t="s">
        <v>23</v>
      </c>
      <c r="S399" t="s">
        <v>25</v>
      </c>
      <c r="T399" t="str">
        <f>_xlfn.XLOOKUP(Tabela14[[#This Row],[Categoria]],CATEGORIAS!$C:$C,CATEGORIAS!$D:$D,"")</f>
        <v>2.1 Despesas Diretas</v>
      </c>
    </row>
    <row r="400" spans="2:20" x14ac:dyDescent="0.25">
      <c r="B400"/>
      <c r="C400"/>
      <c r="D400" s="1">
        <v>46220</v>
      </c>
      <c r="E400" s="1">
        <v>46220</v>
      </c>
      <c r="F400" s="17">
        <v>46220</v>
      </c>
      <c r="G400" t="s">
        <v>184</v>
      </c>
      <c r="H400" t="s">
        <v>27</v>
      </c>
      <c r="I400" t="s">
        <v>109</v>
      </c>
      <c r="J400" s="30">
        <v>-1020.8</v>
      </c>
      <c r="K400" s="30">
        <v>0</v>
      </c>
      <c r="L400" s="33">
        <v>-1020.8</v>
      </c>
      <c r="M400" t="s">
        <v>185</v>
      </c>
      <c r="N400" t="s">
        <v>190</v>
      </c>
      <c r="O400" s="34" t="s">
        <v>488</v>
      </c>
      <c r="P400" t="s">
        <v>187</v>
      </c>
      <c r="Q400" t="s">
        <v>23</v>
      </c>
      <c r="R400" t="s">
        <v>23</v>
      </c>
      <c r="S400" t="s">
        <v>25</v>
      </c>
      <c r="T400" t="str">
        <f>_xlfn.XLOOKUP(Tabela14[[#This Row],[Categoria]],CATEGORIAS!$C:$C,CATEGORIAS!$D:$D,"")</f>
        <v>2.1 Despesas Diretas</v>
      </c>
    </row>
    <row r="401" spans="2:20" x14ac:dyDescent="0.25">
      <c r="B401"/>
      <c r="C401"/>
      <c r="D401" s="1">
        <v>46220</v>
      </c>
      <c r="E401" s="1">
        <v>46220</v>
      </c>
      <c r="F401" s="17">
        <v>46224</v>
      </c>
      <c r="G401" t="s">
        <v>184</v>
      </c>
      <c r="H401" t="s">
        <v>27</v>
      </c>
      <c r="I401" t="s">
        <v>91</v>
      </c>
      <c r="J401" s="30">
        <v>-7304.45</v>
      </c>
      <c r="K401" s="30">
        <v>0</v>
      </c>
      <c r="L401" s="33">
        <v>-7304.45</v>
      </c>
      <c r="M401" t="s">
        <v>185</v>
      </c>
      <c r="N401" t="s">
        <v>190</v>
      </c>
      <c r="O401" s="34" t="s">
        <v>485</v>
      </c>
      <c r="P401" t="s">
        <v>187</v>
      </c>
      <c r="Q401" t="s">
        <v>23</v>
      </c>
      <c r="R401" t="s">
        <v>23</v>
      </c>
      <c r="S401" t="s">
        <v>25</v>
      </c>
      <c r="T401" t="str">
        <f>_xlfn.XLOOKUP(Tabela14[[#This Row],[Categoria]],CATEGORIAS!$C:$C,CATEGORIAS!$D:$D,"")</f>
        <v>2.1 Despesas Diretas</v>
      </c>
    </row>
    <row r="402" spans="2:20" x14ac:dyDescent="0.25">
      <c r="B402"/>
      <c r="C402"/>
      <c r="D402" s="1">
        <v>46220</v>
      </c>
      <c r="E402" s="1">
        <v>46220</v>
      </c>
      <c r="F402" s="17">
        <v>46220</v>
      </c>
      <c r="G402" t="s">
        <v>184</v>
      </c>
      <c r="H402" t="s">
        <v>27</v>
      </c>
      <c r="I402" t="s">
        <v>109</v>
      </c>
      <c r="J402" s="30">
        <v>-860.8</v>
      </c>
      <c r="K402" s="30">
        <v>0</v>
      </c>
      <c r="L402" s="33">
        <v>-860.8</v>
      </c>
      <c r="M402" t="s">
        <v>185</v>
      </c>
      <c r="N402" t="s">
        <v>190</v>
      </c>
      <c r="O402" s="34" t="s">
        <v>489</v>
      </c>
      <c r="P402" t="s">
        <v>187</v>
      </c>
      <c r="Q402" t="s">
        <v>23</v>
      </c>
      <c r="R402" t="s">
        <v>23</v>
      </c>
      <c r="S402" t="s">
        <v>25</v>
      </c>
      <c r="T402" t="str">
        <f>_xlfn.XLOOKUP(Tabela14[[#This Row],[Categoria]],CATEGORIAS!$C:$C,CATEGORIAS!$D:$D,"")</f>
        <v>2.1 Despesas Diretas</v>
      </c>
    </row>
    <row r="403" spans="2:20" x14ac:dyDescent="0.25">
      <c r="B403"/>
      <c r="C403"/>
      <c r="D403" s="1">
        <v>46192</v>
      </c>
      <c r="E403" s="1">
        <v>46192</v>
      </c>
      <c r="F403" s="17">
        <v>46192</v>
      </c>
      <c r="G403" t="s">
        <v>184</v>
      </c>
      <c r="H403" t="s">
        <v>27</v>
      </c>
      <c r="I403" t="s">
        <v>109</v>
      </c>
      <c r="J403" s="30">
        <v>-860.8</v>
      </c>
      <c r="K403" s="30">
        <v>0</v>
      </c>
      <c r="L403" s="33">
        <v>-860.8</v>
      </c>
      <c r="M403" t="s">
        <v>185</v>
      </c>
      <c r="N403" t="s">
        <v>190</v>
      </c>
      <c r="O403" s="34" t="s">
        <v>489</v>
      </c>
      <c r="P403" t="s">
        <v>187</v>
      </c>
      <c r="Q403" t="s">
        <v>23</v>
      </c>
      <c r="R403" t="s">
        <v>23</v>
      </c>
      <c r="S403" t="s">
        <v>25</v>
      </c>
      <c r="T403" t="str">
        <f>_xlfn.XLOOKUP(Tabela14[[#This Row],[Categoria]],CATEGORIAS!$C:$C,CATEGORIAS!$D:$D,"")</f>
        <v>2.1 Despesas Diretas</v>
      </c>
    </row>
    <row r="404" spans="2:20" x14ac:dyDescent="0.25">
      <c r="B404"/>
      <c r="C404"/>
      <c r="D404" s="1">
        <v>46192</v>
      </c>
      <c r="E404" s="1">
        <v>46192</v>
      </c>
      <c r="F404" s="17">
        <v>46192</v>
      </c>
      <c r="G404" t="s">
        <v>184</v>
      </c>
      <c r="H404" t="s">
        <v>27</v>
      </c>
      <c r="I404" t="s">
        <v>108</v>
      </c>
      <c r="J404" s="30">
        <v>-7996.8</v>
      </c>
      <c r="K404" s="30">
        <v>0</v>
      </c>
      <c r="L404" s="47">
        <v>-13996.8</v>
      </c>
      <c r="M404" t="s">
        <v>185</v>
      </c>
      <c r="N404" t="s">
        <v>190</v>
      </c>
      <c r="O404" s="34" t="s">
        <v>486</v>
      </c>
      <c r="P404" t="s">
        <v>187</v>
      </c>
      <c r="Q404" t="s">
        <v>23</v>
      </c>
      <c r="R404" t="s">
        <v>23</v>
      </c>
      <c r="S404" t="s">
        <v>25</v>
      </c>
      <c r="T404" t="str">
        <f>_xlfn.XLOOKUP(Tabela14[[#This Row],[Categoria]],CATEGORIAS!$C:$C,CATEGORIAS!$D:$D,"")</f>
        <v>2.1 Despesas Diretas</v>
      </c>
    </row>
    <row r="405" spans="2:20" x14ac:dyDescent="0.25">
      <c r="B405"/>
      <c r="C405"/>
      <c r="D405" s="1">
        <v>46192</v>
      </c>
      <c r="E405" s="1">
        <v>46192</v>
      </c>
      <c r="F405" s="17">
        <v>46192</v>
      </c>
      <c r="G405" t="s">
        <v>184</v>
      </c>
      <c r="H405" t="s">
        <v>27</v>
      </c>
      <c r="I405" t="s">
        <v>109</v>
      </c>
      <c r="J405" s="30">
        <v>-1020.8</v>
      </c>
      <c r="K405" s="30">
        <v>0</v>
      </c>
      <c r="L405" s="33">
        <v>-1020.8</v>
      </c>
      <c r="M405" t="s">
        <v>185</v>
      </c>
      <c r="N405" t="s">
        <v>190</v>
      </c>
      <c r="O405" s="34" t="s">
        <v>488</v>
      </c>
      <c r="P405" t="s">
        <v>187</v>
      </c>
      <c r="Q405" t="s">
        <v>23</v>
      </c>
      <c r="R405" t="s">
        <v>23</v>
      </c>
      <c r="S405" t="s">
        <v>25</v>
      </c>
      <c r="T405" t="str">
        <f>_xlfn.XLOOKUP(Tabela14[[#This Row],[Categoria]],CATEGORIAS!$C:$C,CATEGORIAS!$D:$D,"")</f>
        <v>2.1 Despesas Diretas</v>
      </c>
    </row>
    <row r="406" spans="2:20" x14ac:dyDescent="0.25">
      <c r="B406"/>
      <c r="C406"/>
      <c r="D406" s="1">
        <v>46206</v>
      </c>
      <c r="E406" s="1">
        <v>46206</v>
      </c>
      <c r="F406" s="17">
        <v>46210</v>
      </c>
      <c r="G406" t="s">
        <v>184</v>
      </c>
      <c r="H406" t="s">
        <v>27</v>
      </c>
      <c r="I406" t="s">
        <v>91</v>
      </c>
      <c r="J406" s="30">
        <v>-5175.55</v>
      </c>
      <c r="K406" s="30">
        <v>0</v>
      </c>
      <c r="L406" s="33">
        <v>-5175.55</v>
      </c>
      <c r="M406" t="s">
        <v>185</v>
      </c>
      <c r="N406" t="s">
        <v>190</v>
      </c>
      <c r="O406" s="34" t="s">
        <v>485</v>
      </c>
      <c r="P406" t="s">
        <v>187</v>
      </c>
      <c r="Q406" t="s">
        <v>23</v>
      </c>
      <c r="R406" t="s">
        <v>23</v>
      </c>
      <c r="S406" t="s">
        <v>25</v>
      </c>
      <c r="T406" t="str">
        <f>_xlfn.XLOOKUP(Tabela14[[#This Row],[Categoria]],CATEGORIAS!$C:$C,CATEGORIAS!$D:$D,"")</f>
        <v>2.1 Despesas Diretas</v>
      </c>
    </row>
    <row r="407" spans="2:20" x14ac:dyDescent="0.25">
      <c r="B407"/>
      <c r="C407"/>
      <c r="D407" s="1">
        <v>46192</v>
      </c>
      <c r="E407" s="1">
        <v>46192</v>
      </c>
      <c r="F407" s="17">
        <v>46192</v>
      </c>
      <c r="G407" t="s">
        <v>184</v>
      </c>
      <c r="H407" t="s">
        <v>27</v>
      </c>
      <c r="I407" t="s">
        <v>109</v>
      </c>
      <c r="J407" s="30">
        <v>-1820.8</v>
      </c>
      <c r="K407" s="30">
        <v>0</v>
      </c>
      <c r="L407" s="33">
        <v>-1820.8</v>
      </c>
      <c r="M407" t="s">
        <v>185</v>
      </c>
      <c r="N407" t="s">
        <v>190</v>
      </c>
      <c r="O407" s="34" t="s">
        <v>487</v>
      </c>
      <c r="P407" t="s">
        <v>187</v>
      </c>
      <c r="Q407" t="s">
        <v>23</v>
      </c>
      <c r="R407" t="s">
        <v>23</v>
      </c>
      <c r="S407" t="s">
        <v>25</v>
      </c>
      <c r="T407" t="str">
        <f>_xlfn.XLOOKUP(Tabela14[[#This Row],[Categoria]],CATEGORIAS!$C:$C,CATEGORIAS!$D:$D,"")</f>
        <v>2.1 Despesas Diretas</v>
      </c>
    </row>
    <row r="408" spans="2:20" x14ac:dyDescent="0.25">
      <c r="B408"/>
      <c r="C408"/>
      <c r="D408" s="1">
        <v>46192</v>
      </c>
      <c r="E408" s="1">
        <v>46192</v>
      </c>
      <c r="F408" s="17">
        <v>46196</v>
      </c>
      <c r="G408" t="s">
        <v>184</v>
      </c>
      <c r="H408" t="s">
        <v>27</v>
      </c>
      <c r="I408" t="s">
        <v>91</v>
      </c>
      <c r="J408" s="30">
        <v>-1440.77</v>
      </c>
      <c r="K408" s="30">
        <v>0</v>
      </c>
      <c r="L408" s="33">
        <v>-1440.77</v>
      </c>
      <c r="M408" t="s">
        <v>185</v>
      </c>
      <c r="N408" t="s">
        <v>190</v>
      </c>
      <c r="O408" s="34" t="s">
        <v>485</v>
      </c>
      <c r="P408" t="s">
        <v>187</v>
      </c>
      <c r="Q408" t="s">
        <v>23</v>
      </c>
      <c r="R408" t="s">
        <v>23</v>
      </c>
      <c r="S408" t="s">
        <v>25</v>
      </c>
      <c r="T408" t="str">
        <f>_xlfn.XLOOKUP(Tabela14[[#This Row],[Categoria]],CATEGORIAS!$C:$C,CATEGORIAS!$D:$D,"")</f>
        <v>2.1 Despesas Diretas</v>
      </c>
    </row>
    <row r="409" spans="2:20" x14ac:dyDescent="0.25">
      <c r="B409"/>
      <c r="C409"/>
      <c r="D409" s="1">
        <v>46164</v>
      </c>
      <c r="E409" s="1">
        <v>46164</v>
      </c>
      <c r="F409" s="17">
        <v>46182</v>
      </c>
      <c r="G409" t="s">
        <v>184</v>
      </c>
      <c r="H409" t="s">
        <v>27</v>
      </c>
      <c r="I409" t="s">
        <v>101</v>
      </c>
      <c r="J409" s="30">
        <v>-32000</v>
      </c>
      <c r="K409" s="30">
        <v>0</v>
      </c>
      <c r="L409" s="33">
        <v>-32000</v>
      </c>
      <c r="M409" t="s">
        <v>185</v>
      </c>
      <c r="N409" t="s">
        <v>214</v>
      </c>
      <c r="O409" s="34" t="s">
        <v>490</v>
      </c>
      <c r="P409" t="s">
        <v>187</v>
      </c>
      <c r="Q409" t="s">
        <v>23</v>
      </c>
      <c r="R409" t="s">
        <v>23</v>
      </c>
      <c r="S409" t="s">
        <v>25</v>
      </c>
      <c r="T409" t="str">
        <f>_xlfn.XLOOKUP(Tabela14[[#This Row],[Categoria]],CATEGORIAS!$C:$C,CATEGORIAS!$D:$D,"")</f>
        <v>2.1 Despesas Diretas</v>
      </c>
    </row>
    <row r="410" spans="2:20" x14ac:dyDescent="0.25">
      <c r="B410"/>
      <c r="C410"/>
      <c r="D410" s="1">
        <v>46164</v>
      </c>
      <c r="E410" s="1">
        <v>46164</v>
      </c>
      <c r="F410" s="17">
        <v>46182</v>
      </c>
      <c r="G410" t="s">
        <v>184</v>
      </c>
      <c r="H410" t="s">
        <v>27</v>
      </c>
      <c r="I410" t="s">
        <v>101</v>
      </c>
      <c r="J410" s="30">
        <v>-19200</v>
      </c>
      <c r="K410" s="30">
        <v>0</v>
      </c>
      <c r="L410" s="33">
        <v>-19200</v>
      </c>
      <c r="M410" t="s">
        <v>185</v>
      </c>
      <c r="N410" t="s">
        <v>214</v>
      </c>
      <c r="O410" s="34" t="s">
        <v>491</v>
      </c>
      <c r="P410" t="s">
        <v>187</v>
      </c>
      <c r="Q410" t="s">
        <v>23</v>
      </c>
      <c r="R410" t="s">
        <v>23</v>
      </c>
      <c r="S410" t="s">
        <v>25</v>
      </c>
      <c r="T410" t="str">
        <f>_xlfn.XLOOKUP(Tabela14[[#This Row],[Categoria]],CATEGORIAS!$C:$C,CATEGORIAS!$D:$D,"")</f>
        <v>2.1 Despesas Diretas</v>
      </c>
    </row>
    <row r="411" spans="2:20" x14ac:dyDescent="0.25">
      <c r="B411"/>
      <c r="C411"/>
      <c r="D411" s="1">
        <v>46192</v>
      </c>
      <c r="E411" s="1">
        <v>46192</v>
      </c>
      <c r="F411" s="17">
        <v>46196</v>
      </c>
      <c r="G411" t="s">
        <v>184</v>
      </c>
      <c r="H411" t="s">
        <v>27</v>
      </c>
      <c r="I411" t="s">
        <v>101</v>
      </c>
      <c r="J411" s="30">
        <v>-32000</v>
      </c>
      <c r="K411" s="30">
        <v>0</v>
      </c>
      <c r="L411" s="33">
        <v>-32000</v>
      </c>
      <c r="M411" t="s">
        <v>185</v>
      </c>
      <c r="N411" t="s">
        <v>214</v>
      </c>
      <c r="O411" s="34" t="s">
        <v>490</v>
      </c>
      <c r="P411" t="s">
        <v>187</v>
      </c>
      <c r="Q411" t="s">
        <v>23</v>
      </c>
      <c r="R411" t="s">
        <v>23</v>
      </c>
      <c r="S411" t="s">
        <v>25</v>
      </c>
      <c r="T411" t="str">
        <f>_xlfn.XLOOKUP(Tabela14[[#This Row],[Categoria]],CATEGORIAS!$C:$C,CATEGORIAS!$D:$D,"")</f>
        <v>2.1 Despesas Diretas</v>
      </c>
    </row>
    <row r="412" spans="2:20" x14ac:dyDescent="0.25">
      <c r="B412"/>
      <c r="C412"/>
      <c r="D412" s="1">
        <v>46192</v>
      </c>
      <c r="E412" s="1">
        <v>46192</v>
      </c>
      <c r="F412" s="17">
        <v>46196</v>
      </c>
      <c r="G412" t="s">
        <v>184</v>
      </c>
      <c r="H412" t="s">
        <v>27</v>
      </c>
      <c r="I412" t="s">
        <v>101</v>
      </c>
      <c r="J412" s="30">
        <v>-19200</v>
      </c>
      <c r="K412" s="30">
        <v>0</v>
      </c>
      <c r="L412" s="33">
        <v>-19200</v>
      </c>
      <c r="M412" t="s">
        <v>185</v>
      </c>
      <c r="N412" t="s">
        <v>214</v>
      </c>
      <c r="O412" s="34" t="s">
        <v>491</v>
      </c>
      <c r="P412" t="s">
        <v>187</v>
      </c>
      <c r="Q412" t="s">
        <v>23</v>
      </c>
      <c r="R412" t="s">
        <v>23</v>
      </c>
      <c r="S412" t="s">
        <v>25</v>
      </c>
      <c r="T412" t="str">
        <f>_xlfn.XLOOKUP(Tabela14[[#This Row],[Categoria]],CATEGORIAS!$C:$C,CATEGORIAS!$D:$D,"")</f>
        <v>2.1 Despesas Diretas</v>
      </c>
    </row>
    <row r="413" spans="2:20" x14ac:dyDescent="0.25">
      <c r="B413"/>
      <c r="C413"/>
      <c r="D413" s="1">
        <v>46164</v>
      </c>
      <c r="E413" s="1">
        <v>46164</v>
      </c>
      <c r="F413" s="17">
        <v>46139</v>
      </c>
      <c r="G413" t="s">
        <v>184</v>
      </c>
      <c r="H413" t="s">
        <v>27</v>
      </c>
      <c r="I413" t="s">
        <v>101</v>
      </c>
      <c r="J413" s="30">
        <v>-6544</v>
      </c>
      <c r="K413" s="30">
        <v>0</v>
      </c>
      <c r="L413" s="33">
        <v>-6544</v>
      </c>
      <c r="M413" t="s">
        <v>185</v>
      </c>
      <c r="N413" t="s">
        <v>211</v>
      </c>
      <c r="O413" s="34" t="s">
        <v>492</v>
      </c>
      <c r="P413" t="s">
        <v>187</v>
      </c>
      <c r="Q413" t="s">
        <v>23</v>
      </c>
      <c r="R413" t="s">
        <v>23</v>
      </c>
      <c r="S413" t="s">
        <v>25</v>
      </c>
      <c r="T413" t="str">
        <f>_xlfn.XLOOKUP(Tabela14[[#This Row],[Categoria]],CATEGORIAS!$C:$C,CATEGORIAS!$D:$D,"")</f>
        <v>2.1 Despesas Diretas</v>
      </c>
    </row>
    <row r="414" spans="2:20" x14ac:dyDescent="0.25">
      <c r="B414"/>
      <c r="C414"/>
      <c r="D414" s="1">
        <v>46164</v>
      </c>
      <c r="E414" s="1">
        <v>46164</v>
      </c>
      <c r="F414" s="17">
        <v>46169</v>
      </c>
      <c r="G414" t="s">
        <v>184</v>
      </c>
      <c r="H414" t="s">
        <v>27</v>
      </c>
      <c r="I414" t="s">
        <v>101</v>
      </c>
      <c r="J414" s="30">
        <v>-17600</v>
      </c>
      <c r="K414" s="30">
        <v>0</v>
      </c>
      <c r="L414" s="33">
        <v>-17600</v>
      </c>
      <c r="M414" t="s">
        <v>185</v>
      </c>
      <c r="N414" t="s">
        <v>211</v>
      </c>
      <c r="O414" s="34" t="s">
        <v>493</v>
      </c>
      <c r="P414" t="s">
        <v>187</v>
      </c>
      <c r="Q414" t="s">
        <v>23</v>
      </c>
      <c r="R414" t="s">
        <v>23</v>
      </c>
      <c r="S414" t="s">
        <v>25</v>
      </c>
      <c r="T414" t="str">
        <f>_xlfn.XLOOKUP(Tabela14[[#This Row],[Categoria]],CATEGORIAS!$C:$C,CATEGORIAS!$D:$D,"")</f>
        <v>2.1 Despesas Diretas</v>
      </c>
    </row>
    <row r="415" spans="2:20" x14ac:dyDescent="0.25">
      <c r="B415"/>
      <c r="C415"/>
      <c r="D415" s="1">
        <v>46192</v>
      </c>
      <c r="E415" s="1">
        <v>46192</v>
      </c>
      <c r="F415" s="17">
        <v>46154</v>
      </c>
      <c r="G415" t="s">
        <v>184</v>
      </c>
      <c r="H415" t="s">
        <v>27</v>
      </c>
      <c r="I415" t="s">
        <v>101</v>
      </c>
      <c r="J415" s="30">
        <v>-6544</v>
      </c>
      <c r="K415" s="30">
        <v>0</v>
      </c>
      <c r="L415" s="33">
        <v>-6544</v>
      </c>
      <c r="M415" t="s">
        <v>185</v>
      </c>
      <c r="N415" t="s">
        <v>211</v>
      </c>
      <c r="O415" s="34" t="s">
        <v>492</v>
      </c>
      <c r="P415" t="s">
        <v>187</v>
      </c>
      <c r="Q415" t="s">
        <v>23</v>
      </c>
      <c r="R415" t="s">
        <v>23</v>
      </c>
      <c r="S415" t="s">
        <v>25</v>
      </c>
      <c r="T415" t="str">
        <f>_xlfn.XLOOKUP(Tabela14[[#This Row],[Categoria]],CATEGORIAS!$C:$C,CATEGORIAS!$D:$D,"")</f>
        <v>2.1 Despesas Diretas</v>
      </c>
    </row>
    <row r="416" spans="2:20" x14ac:dyDescent="0.25">
      <c r="B416"/>
      <c r="C416"/>
      <c r="D416" s="1">
        <v>46192</v>
      </c>
      <c r="E416" s="1">
        <v>46192</v>
      </c>
      <c r="F416" s="17">
        <v>46185</v>
      </c>
      <c r="G416" t="s">
        <v>184</v>
      </c>
      <c r="H416" t="s">
        <v>27</v>
      </c>
      <c r="I416" t="s">
        <v>101</v>
      </c>
      <c r="J416" s="30">
        <v>-17600</v>
      </c>
      <c r="K416" s="30">
        <v>0</v>
      </c>
      <c r="L416" s="33">
        <v>-17600</v>
      </c>
      <c r="M416" t="s">
        <v>185</v>
      </c>
      <c r="N416" t="s">
        <v>211</v>
      </c>
      <c r="O416" s="34" t="s">
        <v>493</v>
      </c>
      <c r="P416" t="s">
        <v>187</v>
      </c>
      <c r="Q416" t="s">
        <v>23</v>
      </c>
      <c r="R416" t="s">
        <v>23</v>
      </c>
      <c r="S416" t="s">
        <v>25</v>
      </c>
      <c r="T416" t="str">
        <f>_xlfn.XLOOKUP(Tabela14[[#This Row],[Categoria]],CATEGORIAS!$C:$C,CATEGORIAS!$D:$D,"")</f>
        <v>2.1 Despesas Diretas</v>
      </c>
    </row>
    <row r="417" spans="2:20" x14ac:dyDescent="0.25">
      <c r="B417"/>
      <c r="C417"/>
      <c r="D417" s="1">
        <v>46178</v>
      </c>
      <c r="E417" s="1">
        <v>46178</v>
      </c>
      <c r="F417" s="17">
        <v>46178</v>
      </c>
      <c r="G417" t="s">
        <v>184</v>
      </c>
      <c r="H417" t="s">
        <v>27</v>
      </c>
      <c r="I417" t="s">
        <v>93</v>
      </c>
      <c r="J417" s="30">
        <v>-6240</v>
      </c>
      <c r="K417" s="30">
        <v>0</v>
      </c>
      <c r="L417" s="33">
        <v>-6240</v>
      </c>
      <c r="M417" t="s">
        <v>185</v>
      </c>
      <c r="N417" t="s">
        <v>209</v>
      </c>
      <c r="O417" s="34" t="s">
        <v>494</v>
      </c>
      <c r="P417" t="s">
        <v>187</v>
      </c>
      <c r="Q417" t="s">
        <v>23</v>
      </c>
      <c r="R417" t="s">
        <v>23</v>
      </c>
      <c r="S417" t="s">
        <v>25</v>
      </c>
      <c r="T417" t="str">
        <f>_xlfn.XLOOKUP(Tabela14[[#This Row],[Categoria]],CATEGORIAS!$C:$C,CATEGORIAS!$D:$D,"")</f>
        <v>2.1 Despesas Diretas</v>
      </c>
    </row>
    <row r="418" spans="2:20" x14ac:dyDescent="0.25">
      <c r="B418"/>
      <c r="C418"/>
      <c r="D418" s="1">
        <v>46178</v>
      </c>
      <c r="E418" s="1">
        <v>46178</v>
      </c>
      <c r="F418" s="17">
        <v>46178</v>
      </c>
      <c r="G418" t="s">
        <v>184</v>
      </c>
      <c r="H418" t="s">
        <v>27</v>
      </c>
      <c r="I418" t="s">
        <v>99</v>
      </c>
      <c r="J418" s="30">
        <v>-1292.1600000000001</v>
      </c>
      <c r="K418" s="30">
        <v>0</v>
      </c>
      <c r="L418" s="33">
        <v>-1292.1600000000001</v>
      </c>
      <c r="M418" t="s">
        <v>185</v>
      </c>
      <c r="N418" t="s">
        <v>209</v>
      </c>
      <c r="O418" s="34" t="s">
        <v>495</v>
      </c>
      <c r="P418" t="s">
        <v>187</v>
      </c>
      <c r="Q418" t="s">
        <v>23</v>
      </c>
      <c r="R418" t="s">
        <v>23</v>
      </c>
      <c r="S418" t="s">
        <v>25</v>
      </c>
      <c r="T418" t="str">
        <f>_xlfn.XLOOKUP(Tabela14[[#This Row],[Categoria]],CATEGORIAS!$C:$C,CATEGORIAS!$D:$D,"")</f>
        <v>2.1 Despesas Diretas</v>
      </c>
    </row>
    <row r="419" spans="2:20" x14ac:dyDescent="0.25">
      <c r="B419"/>
      <c r="C419"/>
      <c r="D419" s="1">
        <v>46178</v>
      </c>
      <c r="E419" s="1">
        <v>46178</v>
      </c>
      <c r="F419" s="17">
        <v>46178</v>
      </c>
      <c r="G419" t="s">
        <v>184</v>
      </c>
      <c r="H419" t="s">
        <v>27</v>
      </c>
      <c r="I419" t="s">
        <v>95</v>
      </c>
      <c r="J419" s="30">
        <v>-3196.8</v>
      </c>
      <c r="K419" s="30">
        <v>0</v>
      </c>
      <c r="L419" s="33">
        <v>-3196.8</v>
      </c>
      <c r="M419" t="s">
        <v>185</v>
      </c>
      <c r="N419" t="s">
        <v>209</v>
      </c>
      <c r="O419" s="34" t="s">
        <v>496</v>
      </c>
      <c r="P419" t="s">
        <v>187</v>
      </c>
      <c r="Q419" t="s">
        <v>23</v>
      </c>
      <c r="R419" t="s">
        <v>23</v>
      </c>
      <c r="S419" t="s">
        <v>25</v>
      </c>
      <c r="T419" t="str">
        <f>_xlfn.XLOOKUP(Tabela14[[#This Row],[Categoria]],CATEGORIAS!$C:$C,CATEGORIAS!$D:$D,"")</f>
        <v>2.1 Despesas Diretas</v>
      </c>
    </row>
    <row r="420" spans="2:20" x14ac:dyDescent="0.25">
      <c r="B420"/>
      <c r="C420"/>
      <c r="D420" s="1">
        <v>46178</v>
      </c>
      <c r="E420" s="1">
        <v>46178</v>
      </c>
      <c r="F420" s="17">
        <v>46178</v>
      </c>
      <c r="G420" t="s">
        <v>184</v>
      </c>
      <c r="H420" t="s">
        <v>27</v>
      </c>
      <c r="I420" t="s">
        <v>95</v>
      </c>
      <c r="J420" s="30">
        <v>-640</v>
      </c>
      <c r="K420" s="30">
        <v>0</v>
      </c>
      <c r="L420" s="33">
        <v>-640</v>
      </c>
      <c r="M420" t="s">
        <v>185</v>
      </c>
      <c r="N420" t="s">
        <v>209</v>
      </c>
      <c r="O420" s="34" t="s">
        <v>497</v>
      </c>
      <c r="P420" t="s">
        <v>187</v>
      </c>
      <c r="Q420" t="s">
        <v>23</v>
      </c>
      <c r="R420" t="s">
        <v>23</v>
      </c>
      <c r="S420" t="s">
        <v>25</v>
      </c>
      <c r="T420" t="str">
        <f>_xlfn.XLOOKUP(Tabela14[[#This Row],[Categoria]],CATEGORIAS!$C:$C,CATEGORIAS!$D:$D,"")</f>
        <v>2.1 Despesas Diretas</v>
      </c>
    </row>
    <row r="421" spans="2:20" x14ac:dyDescent="0.25">
      <c r="B421"/>
      <c r="C421"/>
      <c r="D421" s="1">
        <v>46178</v>
      </c>
      <c r="E421" s="1">
        <v>46178</v>
      </c>
      <c r="F421" s="17">
        <v>46178</v>
      </c>
      <c r="G421" t="s">
        <v>184</v>
      </c>
      <c r="H421" t="s">
        <v>27</v>
      </c>
      <c r="I421" t="s">
        <v>92</v>
      </c>
      <c r="J421" s="30">
        <v>-15872</v>
      </c>
      <c r="K421" s="30">
        <v>0</v>
      </c>
      <c r="L421" s="33">
        <v>-15872</v>
      </c>
      <c r="M421" t="s">
        <v>185</v>
      </c>
      <c r="N421" t="s">
        <v>209</v>
      </c>
      <c r="O421" s="34" t="s">
        <v>498</v>
      </c>
      <c r="P421" t="s">
        <v>187</v>
      </c>
      <c r="Q421" t="s">
        <v>23</v>
      </c>
      <c r="R421" t="s">
        <v>23</v>
      </c>
      <c r="S421" t="s">
        <v>25</v>
      </c>
      <c r="T421" t="str">
        <f>_xlfn.XLOOKUP(Tabela14[[#This Row],[Categoria]],CATEGORIAS!$C:$C,CATEGORIAS!$D:$D,"")</f>
        <v>2.1 Despesas Diretas</v>
      </c>
    </row>
    <row r="422" spans="2:20" x14ac:dyDescent="0.25">
      <c r="B422"/>
      <c r="C422"/>
      <c r="D422" s="1">
        <v>46192</v>
      </c>
      <c r="E422" s="1">
        <v>46192</v>
      </c>
      <c r="F422" s="17">
        <v>46192</v>
      </c>
      <c r="G422" t="s">
        <v>184</v>
      </c>
      <c r="H422" t="s">
        <v>27</v>
      </c>
      <c r="I422" t="s">
        <v>95</v>
      </c>
      <c r="J422" s="30">
        <v>-640</v>
      </c>
      <c r="K422" s="30">
        <v>0</v>
      </c>
      <c r="L422" s="33">
        <v>-640</v>
      </c>
      <c r="M422" t="s">
        <v>185</v>
      </c>
      <c r="N422" t="s">
        <v>209</v>
      </c>
      <c r="O422" s="34" t="s">
        <v>497</v>
      </c>
      <c r="P422" t="s">
        <v>187</v>
      </c>
      <c r="Q422" t="s">
        <v>23</v>
      </c>
      <c r="R422" t="s">
        <v>23</v>
      </c>
      <c r="S422" t="s">
        <v>25</v>
      </c>
      <c r="T422" t="str">
        <f>_xlfn.XLOOKUP(Tabela14[[#This Row],[Categoria]],CATEGORIAS!$C:$C,CATEGORIAS!$D:$D,"")</f>
        <v>2.1 Despesas Diretas</v>
      </c>
    </row>
    <row r="423" spans="2:20" x14ac:dyDescent="0.25">
      <c r="B423"/>
      <c r="C423"/>
      <c r="D423" s="1">
        <v>46192</v>
      </c>
      <c r="E423" s="1">
        <v>46192</v>
      </c>
      <c r="F423" s="17">
        <v>46192</v>
      </c>
      <c r="G423" t="s">
        <v>184</v>
      </c>
      <c r="H423" t="s">
        <v>27</v>
      </c>
      <c r="I423" t="s">
        <v>93</v>
      </c>
      <c r="J423" s="30">
        <v>-6240</v>
      </c>
      <c r="K423" s="30">
        <v>0</v>
      </c>
      <c r="L423" s="33">
        <v>-6240</v>
      </c>
      <c r="M423" t="s">
        <v>185</v>
      </c>
      <c r="N423" t="s">
        <v>209</v>
      </c>
      <c r="O423" s="34" t="s">
        <v>494</v>
      </c>
      <c r="P423" t="s">
        <v>187</v>
      </c>
      <c r="Q423" t="s">
        <v>23</v>
      </c>
      <c r="R423" t="s">
        <v>23</v>
      </c>
      <c r="S423" t="s">
        <v>25</v>
      </c>
      <c r="T423" t="str">
        <f>_xlfn.XLOOKUP(Tabela14[[#This Row],[Categoria]],CATEGORIAS!$C:$C,CATEGORIAS!$D:$D,"")</f>
        <v>2.1 Despesas Diretas</v>
      </c>
    </row>
    <row r="424" spans="2:20" x14ac:dyDescent="0.25">
      <c r="B424"/>
      <c r="C424"/>
      <c r="D424" s="1">
        <v>46192</v>
      </c>
      <c r="E424" s="1">
        <v>46192</v>
      </c>
      <c r="F424" s="17">
        <v>46192</v>
      </c>
      <c r="G424" t="s">
        <v>184</v>
      </c>
      <c r="H424" t="s">
        <v>27</v>
      </c>
      <c r="I424" t="s">
        <v>99</v>
      </c>
      <c r="J424" s="30">
        <v>-1292.1600000000001</v>
      </c>
      <c r="K424" s="30">
        <v>0</v>
      </c>
      <c r="L424" s="33">
        <v>-1292.1600000000001</v>
      </c>
      <c r="M424" t="s">
        <v>185</v>
      </c>
      <c r="N424" t="s">
        <v>209</v>
      </c>
      <c r="O424" s="34" t="s">
        <v>495</v>
      </c>
      <c r="P424" t="s">
        <v>187</v>
      </c>
      <c r="Q424" t="s">
        <v>23</v>
      </c>
      <c r="R424" t="s">
        <v>23</v>
      </c>
      <c r="S424" t="s">
        <v>25</v>
      </c>
      <c r="T424" t="str">
        <f>_xlfn.XLOOKUP(Tabela14[[#This Row],[Categoria]],CATEGORIAS!$C:$C,CATEGORIAS!$D:$D,"")</f>
        <v>2.1 Despesas Diretas</v>
      </c>
    </row>
    <row r="425" spans="2:20" x14ac:dyDescent="0.25">
      <c r="B425"/>
      <c r="C425"/>
      <c r="D425" s="1">
        <v>46192</v>
      </c>
      <c r="E425" s="1">
        <v>46192</v>
      </c>
      <c r="F425" s="17">
        <v>46192</v>
      </c>
      <c r="G425" t="s">
        <v>184</v>
      </c>
      <c r="H425" t="s">
        <v>27</v>
      </c>
      <c r="I425" t="s">
        <v>92</v>
      </c>
      <c r="J425" s="30">
        <v>-15872</v>
      </c>
      <c r="K425" s="30">
        <v>0</v>
      </c>
      <c r="L425" s="33">
        <v>-15872</v>
      </c>
      <c r="M425" t="s">
        <v>185</v>
      </c>
      <c r="N425" t="s">
        <v>209</v>
      </c>
      <c r="O425" s="34" t="s">
        <v>498</v>
      </c>
      <c r="P425" t="s">
        <v>187</v>
      </c>
      <c r="Q425" t="s">
        <v>23</v>
      </c>
      <c r="R425" t="s">
        <v>23</v>
      </c>
      <c r="S425" t="s">
        <v>25</v>
      </c>
      <c r="T425" t="str">
        <f>_xlfn.XLOOKUP(Tabela14[[#This Row],[Categoria]],CATEGORIAS!$C:$C,CATEGORIAS!$D:$D,"")</f>
        <v>2.1 Despesas Diretas</v>
      </c>
    </row>
    <row r="426" spans="2:20" x14ac:dyDescent="0.25">
      <c r="B426"/>
      <c r="C426"/>
      <c r="D426" s="1">
        <v>46192</v>
      </c>
      <c r="E426" s="1">
        <v>46192</v>
      </c>
      <c r="F426" s="17">
        <v>46192</v>
      </c>
      <c r="G426" t="s">
        <v>184</v>
      </c>
      <c r="H426" t="s">
        <v>27</v>
      </c>
      <c r="I426" t="s">
        <v>95</v>
      </c>
      <c r="J426" s="30">
        <v>-3196.8</v>
      </c>
      <c r="K426" s="30">
        <v>0</v>
      </c>
      <c r="L426" s="33">
        <v>-3196.8</v>
      </c>
      <c r="M426" t="s">
        <v>185</v>
      </c>
      <c r="N426" t="s">
        <v>209</v>
      </c>
      <c r="O426" s="34" t="s">
        <v>496</v>
      </c>
      <c r="P426" t="s">
        <v>187</v>
      </c>
      <c r="Q426" t="s">
        <v>23</v>
      </c>
      <c r="R426" t="s">
        <v>23</v>
      </c>
      <c r="S426" t="s">
        <v>25</v>
      </c>
      <c r="T426" t="str">
        <f>_xlfn.XLOOKUP(Tabela14[[#This Row],[Categoria]],CATEGORIAS!$C:$C,CATEGORIAS!$D:$D,"")</f>
        <v>2.1 Despesas Diretas</v>
      </c>
    </row>
    <row r="427" spans="2:20" x14ac:dyDescent="0.25">
      <c r="B427"/>
      <c r="C427"/>
      <c r="D427" s="1">
        <v>46220</v>
      </c>
      <c r="E427" s="1">
        <v>46220</v>
      </c>
      <c r="F427" s="17">
        <v>46224</v>
      </c>
      <c r="G427" t="s">
        <v>184</v>
      </c>
      <c r="H427" t="s">
        <v>27</v>
      </c>
      <c r="I427" t="s">
        <v>110</v>
      </c>
      <c r="J427" s="30">
        <v>-3349.66</v>
      </c>
      <c r="K427" s="30">
        <v>0</v>
      </c>
      <c r="L427" s="33">
        <v>-3349.66</v>
      </c>
      <c r="M427" t="s">
        <v>185</v>
      </c>
      <c r="N427" t="s">
        <v>194</v>
      </c>
      <c r="O427" s="34" t="s">
        <v>499</v>
      </c>
      <c r="P427" t="s">
        <v>187</v>
      </c>
      <c r="Q427" t="s">
        <v>23</v>
      </c>
      <c r="R427" t="s">
        <v>23</v>
      </c>
      <c r="S427" t="s">
        <v>25</v>
      </c>
      <c r="T427" t="str">
        <f>_xlfn.XLOOKUP(Tabela14[[#This Row],[Categoria]],CATEGORIAS!$C:$C,CATEGORIAS!$D:$D,"")</f>
        <v>2.1 Despesas Diretas</v>
      </c>
    </row>
    <row r="428" spans="2:20" x14ac:dyDescent="0.25">
      <c r="B428"/>
      <c r="C428"/>
      <c r="D428" s="1">
        <v>46192</v>
      </c>
      <c r="E428" s="1">
        <v>46192</v>
      </c>
      <c r="F428" s="17">
        <v>46192</v>
      </c>
      <c r="G428" t="s">
        <v>184</v>
      </c>
      <c r="H428" t="s">
        <v>27</v>
      </c>
      <c r="I428" t="s">
        <v>110</v>
      </c>
      <c r="J428" s="30">
        <v>-579.36</v>
      </c>
      <c r="K428" s="30">
        <v>0</v>
      </c>
      <c r="L428" s="33">
        <v>-579.36</v>
      </c>
      <c r="M428" t="s">
        <v>185</v>
      </c>
      <c r="N428" t="s">
        <v>194</v>
      </c>
      <c r="O428" s="34" t="s">
        <v>500</v>
      </c>
      <c r="P428" t="s">
        <v>187</v>
      </c>
      <c r="Q428" t="s">
        <v>23</v>
      </c>
      <c r="R428" t="s">
        <v>23</v>
      </c>
      <c r="S428" t="s">
        <v>25</v>
      </c>
      <c r="T428" t="str">
        <f>_xlfn.XLOOKUP(Tabela14[[#This Row],[Categoria]],CATEGORIAS!$C:$C,CATEGORIAS!$D:$D,"")</f>
        <v>2.1 Despesas Diretas</v>
      </c>
    </row>
    <row r="429" spans="2:20" x14ac:dyDescent="0.25">
      <c r="B429"/>
      <c r="C429"/>
      <c r="D429" s="1">
        <v>46206</v>
      </c>
      <c r="E429" s="1">
        <v>46206</v>
      </c>
      <c r="F429" s="17">
        <v>46206</v>
      </c>
      <c r="G429" t="s">
        <v>184</v>
      </c>
      <c r="H429" t="s">
        <v>27</v>
      </c>
      <c r="I429" t="s">
        <v>110</v>
      </c>
      <c r="J429" s="30">
        <v>-246.88</v>
      </c>
      <c r="K429" s="30">
        <v>0</v>
      </c>
      <c r="L429" s="33">
        <v>-246.88</v>
      </c>
      <c r="M429" t="s">
        <v>185</v>
      </c>
      <c r="N429" t="s">
        <v>194</v>
      </c>
      <c r="O429" s="34" t="s">
        <v>501</v>
      </c>
      <c r="P429" t="s">
        <v>187</v>
      </c>
      <c r="Q429" t="s">
        <v>23</v>
      </c>
      <c r="R429" t="s">
        <v>23</v>
      </c>
      <c r="S429" t="s">
        <v>25</v>
      </c>
      <c r="T429" t="str">
        <f>_xlfn.XLOOKUP(Tabela14[[#This Row],[Categoria]],CATEGORIAS!$C:$C,CATEGORIAS!$D:$D,"")</f>
        <v>2.1 Despesas Diretas</v>
      </c>
    </row>
    <row r="430" spans="2:20" x14ac:dyDescent="0.25">
      <c r="B430"/>
      <c r="C430"/>
      <c r="D430" s="1">
        <v>46206</v>
      </c>
      <c r="E430" s="1">
        <v>46206</v>
      </c>
      <c r="F430" s="17">
        <v>46210</v>
      </c>
      <c r="G430" t="s">
        <v>184</v>
      </c>
      <c r="H430" t="s">
        <v>27</v>
      </c>
      <c r="I430" t="s">
        <v>110</v>
      </c>
      <c r="J430" s="30">
        <v>-932.48</v>
      </c>
      <c r="K430" s="30">
        <v>0</v>
      </c>
      <c r="L430" s="33">
        <v>-932.48</v>
      </c>
      <c r="M430" t="s">
        <v>185</v>
      </c>
      <c r="N430" t="s">
        <v>194</v>
      </c>
      <c r="O430" s="34" t="s">
        <v>499</v>
      </c>
      <c r="P430" t="s">
        <v>187</v>
      </c>
      <c r="Q430" t="s">
        <v>23</v>
      </c>
      <c r="R430" t="s">
        <v>23</v>
      </c>
      <c r="S430" t="s">
        <v>25</v>
      </c>
      <c r="T430" t="str">
        <f>_xlfn.XLOOKUP(Tabela14[[#This Row],[Categoria]],CATEGORIAS!$C:$C,CATEGORIAS!$D:$D,"")</f>
        <v>2.1 Despesas Diretas</v>
      </c>
    </row>
    <row r="431" spans="2:20" x14ac:dyDescent="0.25">
      <c r="B431"/>
      <c r="C431"/>
      <c r="D431" s="1">
        <v>46192</v>
      </c>
      <c r="E431" s="1">
        <v>46192</v>
      </c>
      <c r="F431" s="17">
        <v>46192</v>
      </c>
      <c r="G431" t="s">
        <v>184</v>
      </c>
      <c r="H431" t="s">
        <v>27</v>
      </c>
      <c r="I431" t="s">
        <v>110</v>
      </c>
      <c r="J431" s="30">
        <v>-250.72</v>
      </c>
      <c r="K431" s="30">
        <v>0</v>
      </c>
      <c r="L431" s="33">
        <v>-250.72</v>
      </c>
      <c r="M431" t="s">
        <v>185</v>
      </c>
      <c r="N431" t="s">
        <v>194</v>
      </c>
      <c r="O431" s="34" t="s">
        <v>502</v>
      </c>
      <c r="P431" t="s">
        <v>187</v>
      </c>
      <c r="Q431" t="s">
        <v>23</v>
      </c>
      <c r="R431" t="s">
        <v>23</v>
      </c>
      <c r="S431" t="s">
        <v>25</v>
      </c>
      <c r="T431" t="str">
        <f>_xlfn.XLOOKUP(Tabela14[[#This Row],[Categoria]],CATEGORIAS!$C:$C,CATEGORIAS!$D:$D,"")</f>
        <v>2.1 Despesas Diretas</v>
      </c>
    </row>
    <row r="432" spans="2:20" x14ac:dyDescent="0.25">
      <c r="B432"/>
      <c r="C432"/>
      <c r="D432" s="1">
        <v>46192</v>
      </c>
      <c r="E432" s="1">
        <v>46192</v>
      </c>
      <c r="F432" s="17">
        <v>46196</v>
      </c>
      <c r="G432" t="s">
        <v>184</v>
      </c>
      <c r="H432" t="s">
        <v>27</v>
      </c>
      <c r="I432" t="s">
        <v>110</v>
      </c>
      <c r="J432" s="30">
        <v>-931.48</v>
      </c>
      <c r="K432" s="30">
        <v>0</v>
      </c>
      <c r="L432" s="33">
        <v>-931.48</v>
      </c>
      <c r="M432" t="s">
        <v>185</v>
      </c>
      <c r="N432" t="s">
        <v>194</v>
      </c>
      <c r="O432" s="34" t="s">
        <v>499</v>
      </c>
      <c r="P432" t="s">
        <v>187</v>
      </c>
      <c r="Q432" t="s">
        <v>23</v>
      </c>
      <c r="R432" t="s">
        <v>23</v>
      </c>
      <c r="S432" t="s">
        <v>25</v>
      </c>
      <c r="T432" t="str">
        <f>_xlfn.XLOOKUP(Tabela14[[#This Row],[Categoria]],CATEGORIAS!$C:$C,CATEGORIAS!$D:$D,"")</f>
        <v>2.1 Despesas Diretas</v>
      </c>
    </row>
    <row r="433" spans="2:20" x14ac:dyDescent="0.25">
      <c r="B433"/>
      <c r="C433"/>
      <c r="D433" s="1">
        <v>46206</v>
      </c>
      <c r="E433" s="1">
        <v>46206</v>
      </c>
      <c r="F433" s="17">
        <v>46206</v>
      </c>
      <c r="G433" t="s">
        <v>184</v>
      </c>
      <c r="H433" t="s">
        <v>27</v>
      </c>
      <c r="I433" t="s">
        <v>110</v>
      </c>
      <c r="J433" s="30">
        <v>-250.72</v>
      </c>
      <c r="K433" s="30">
        <v>0</v>
      </c>
      <c r="L433" s="33">
        <v>-250.72</v>
      </c>
      <c r="M433" t="s">
        <v>185</v>
      </c>
      <c r="N433" t="s">
        <v>194</v>
      </c>
      <c r="O433" s="34" t="s">
        <v>502</v>
      </c>
      <c r="P433" t="s">
        <v>187</v>
      </c>
      <c r="Q433" t="s">
        <v>23</v>
      </c>
      <c r="R433" t="s">
        <v>23</v>
      </c>
      <c r="S433" t="s">
        <v>25</v>
      </c>
      <c r="T433" t="str">
        <f>_xlfn.XLOOKUP(Tabela14[[#This Row],[Categoria]],CATEGORIAS!$C:$C,CATEGORIAS!$D:$D,"")</f>
        <v>2.1 Despesas Diretas</v>
      </c>
    </row>
    <row r="434" spans="2:20" x14ac:dyDescent="0.25">
      <c r="B434"/>
      <c r="C434"/>
      <c r="D434" s="1">
        <v>46192</v>
      </c>
      <c r="E434" s="1">
        <v>46192</v>
      </c>
      <c r="F434" s="17">
        <v>46192</v>
      </c>
      <c r="G434" t="s">
        <v>184</v>
      </c>
      <c r="H434" t="s">
        <v>27</v>
      </c>
      <c r="I434" t="s">
        <v>110</v>
      </c>
      <c r="J434" s="30">
        <v>-246.88</v>
      </c>
      <c r="K434" s="30">
        <v>0</v>
      </c>
      <c r="L434" s="33">
        <v>-246.88</v>
      </c>
      <c r="M434" t="s">
        <v>185</v>
      </c>
      <c r="N434" t="s">
        <v>194</v>
      </c>
      <c r="O434" s="34" t="s">
        <v>501</v>
      </c>
      <c r="P434" t="s">
        <v>187</v>
      </c>
      <c r="Q434" t="s">
        <v>23</v>
      </c>
      <c r="R434" t="s">
        <v>23</v>
      </c>
      <c r="S434" t="s">
        <v>25</v>
      </c>
      <c r="T434" t="str">
        <f>_xlfn.XLOOKUP(Tabela14[[#This Row],[Categoria]],CATEGORIAS!$C:$C,CATEGORIAS!$D:$D,"")</f>
        <v>2.1 Despesas Diretas</v>
      </c>
    </row>
    <row r="435" spans="2:20" x14ac:dyDescent="0.25">
      <c r="B435"/>
      <c r="C435"/>
      <c r="D435" s="1">
        <v>46206</v>
      </c>
      <c r="E435" s="1">
        <v>46206</v>
      </c>
      <c r="F435" s="17">
        <v>46206</v>
      </c>
      <c r="G435" t="s">
        <v>184</v>
      </c>
      <c r="H435" t="s">
        <v>27</v>
      </c>
      <c r="I435" t="s">
        <v>110</v>
      </c>
      <c r="J435" s="30">
        <v>-579.36</v>
      </c>
      <c r="K435" s="30">
        <v>0</v>
      </c>
      <c r="L435" s="33">
        <v>-579.36</v>
      </c>
      <c r="M435" t="s">
        <v>185</v>
      </c>
      <c r="N435" t="s">
        <v>194</v>
      </c>
      <c r="O435" s="34" t="s">
        <v>500</v>
      </c>
      <c r="P435" t="s">
        <v>187</v>
      </c>
      <c r="Q435" t="s">
        <v>23</v>
      </c>
      <c r="R435" t="s">
        <v>23</v>
      </c>
      <c r="S435" t="s">
        <v>25</v>
      </c>
      <c r="T435" t="str">
        <f>_xlfn.XLOOKUP(Tabela14[[#This Row],[Categoria]],CATEGORIAS!$C:$C,CATEGORIAS!$D:$D,"")</f>
        <v>2.1 Despesas Diretas</v>
      </c>
    </row>
    <row r="436" spans="2:20" x14ac:dyDescent="0.25">
      <c r="B436"/>
      <c r="C436"/>
      <c r="D436" s="1">
        <v>46234</v>
      </c>
      <c r="E436" s="1">
        <v>46234</v>
      </c>
      <c r="F436" s="17">
        <v>46238</v>
      </c>
      <c r="G436" t="s">
        <v>184</v>
      </c>
      <c r="H436" t="s">
        <v>27</v>
      </c>
      <c r="I436" t="s">
        <v>110</v>
      </c>
      <c r="J436" s="30">
        <v>-4727.5</v>
      </c>
      <c r="K436" s="30">
        <v>0</v>
      </c>
      <c r="L436" s="33">
        <v>-4727.5</v>
      </c>
      <c r="M436" t="s">
        <v>185</v>
      </c>
      <c r="N436" t="s">
        <v>194</v>
      </c>
      <c r="O436" s="34" t="s">
        <v>499</v>
      </c>
      <c r="P436" t="s">
        <v>187</v>
      </c>
      <c r="Q436" t="s">
        <v>23</v>
      </c>
      <c r="R436" t="s">
        <v>23</v>
      </c>
      <c r="S436" t="s">
        <v>25</v>
      </c>
      <c r="T436" t="str">
        <f>_xlfn.XLOOKUP(Tabela14[[#This Row],[Categoria]],CATEGORIAS!$C:$C,CATEGORIAS!$D:$D,"")</f>
        <v>2.1 Despesas Diretas</v>
      </c>
    </row>
    <row r="437" spans="2:20" x14ac:dyDescent="0.25">
      <c r="B437"/>
      <c r="C437"/>
      <c r="D437" s="1">
        <v>46122</v>
      </c>
      <c r="E437" s="1">
        <v>46122</v>
      </c>
      <c r="F437" s="17">
        <v>46122</v>
      </c>
      <c r="G437" t="s">
        <v>184</v>
      </c>
      <c r="H437" t="s">
        <v>27</v>
      </c>
      <c r="I437" t="s">
        <v>142</v>
      </c>
      <c r="J437" s="31">
        <v>-3500</v>
      </c>
      <c r="K437" s="31">
        <v>0</v>
      </c>
      <c r="L437" s="33">
        <v>-3500</v>
      </c>
      <c r="M437" t="s">
        <v>185</v>
      </c>
      <c r="N437" t="s">
        <v>200</v>
      </c>
      <c r="O437" s="34" t="s">
        <v>503</v>
      </c>
      <c r="P437" t="s">
        <v>187</v>
      </c>
      <c r="Q437" t="s">
        <v>23</v>
      </c>
      <c r="R437" t="s">
        <v>23</v>
      </c>
      <c r="S437" t="s">
        <v>25</v>
      </c>
      <c r="T437" t="str">
        <f>_xlfn.XLOOKUP(Tabela14[[#This Row],[Categoria]],CATEGORIAS!$C:$C,CATEGORIAS!$D:$D,"")</f>
        <v>2.4 Despesas Administrativas</v>
      </c>
    </row>
    <row r="438" spans="2:20" x14ac:dyDescent="0.25">
      <c r="B438"/>
      <c r="C438"/>
      <c r="D438" s="1">
        <v>46122</v>
      </c>
      <c r="E438" s="1">
        <v>46122</v>
      </c>
      <c r="F438" s="17">
        <v>46122</v>
      </c>
      <c r="G438" t="s">
        <v>277</v>
      </c>
      <c r="H438" t="s">
        <v>27</v>
      </c>
      <c r="I438" t="s">
        <v>142</v>
      </c>
      <c r="J438" s="30">
        <v>-2000</v>
      </c>
      <c r="K438" s="30">
        <v>0</v>
      </c>
      <c r="L438" s="33">
        <v>-2000</v>
      </c>
      <c r="M438" t="s">
        <v>185</v>
      </c>
      <c r="N438" t="s">
        <v>200</v>
      </c>
      <c r="O438" s="34" t="s">
        <v>504</v>
      </c>
      <c r="P438" t="s">
        <v>187</v>
      </c>
      <c r="Q438" t="s">
        <v>23</v>
      </c>
      <c r="R438" t="s">
        <v>23</v>
      </c>
      <c r="S438" t="s">
        <v>25</v>
      </c>
      <c r="T438" t="str">
        <f>_xlfn.XLOOKUP(Tabela14[[#This Row],[Categoria]],CATEGORIAS!$C:$C,CATEGORIAS!$D:$D,"")</f>
        <v>2.4 Despesas Administrativas</v>
      </c>
    </row>
    <row r="439" spans="2:20" x14ac:dyDescent="0.25">
      <c r="B439"/>
      <c r="C439"/>
      <c r="D439" s="1">
        <v>46122</v>
      </c>
      <c r="E439" s="1">
        <v>46122</v>
      </c>
      <c r="F439" s="17">
        <v>46122</v>
      </c>
      <c r="G439" t="s">
        <v>184</v>
      </c>
      <c r="H439" t="s">
        <v>27</v>
      </c>
      <c r="I439" t="s">
        <v>142</v>
      </c>
      <c r="J439" s="31">
        <v>-3000</v>
      </c>
      <c r="K439" s="31">
        <v>0</v>
      </c>
      <c r="L439" s="33">
        <v>-3000</v>
      </c>
      <c r="M439" t="s">
        <v>185</v>
      </c>
      <c r="N439" t="s">
        <v>200</v>
      </c>
      <c r="O439" s="34" t="s">
        <v>505</v>
      </c>
      <c r="P439" t="s">
        <v>187</v>
      </c>
      <c r="Q439" t="s">
        <v>23</v>
      </c>
      <c r="R439" t="s">
        <v>23</v>
      </c>
      <c r="S439" t="s">
        <v>25</v>
      </c>
      <c r="T439" t="str">
        <f>_xlfn.XLOOKUP(Tabela14[[#This Row],[Categoria]],CATEGORIAS!$C:$C,CATEGORIAS!$D:$D,"")</f>
        <v>2.4 Despesas Administrativas</v>
      </c>
    </row>
    <row r="440" spans="2:20" x14ac:dyDescent="0.25">
      <c r="B440"/>
      <c r="C440"/>
      <c r="D440" s="1">
        <v>46138</v>
      </c>
      <c r="E440" s="1">
        <v>46138</v>
      </c>
      <c r="F440" s="17">
        <v>46123</v>
      </c>
      <c r="G440" t="s">
        <v>279</v>
      </c>
      <c r="H440" t="s">
        <v>27</v>
      </c>
      <c r="I440" t="s">
        <v>142</v>
      </c>
      <c r="J440" s="31">
        <v>-3250</v>
      </c>
      <c r="K440" s="31">
        <v>0</v>
      </c>
      <c r="L440" s="33">
        <v>-3250</v>
      </c>
      <c r="M440" t="s">
        <v>238</v>
      </c>
      <c r="N440" t="s">
        <v>200</v>
      </c>
      <c r="O440" s="34" t="s">
        <v>506</v>
      </c>
      <c r="P440" t="s">
        <v>213</v>
      </c>
      <c r="Q440" t="s">
        <v>23</v>
      </c>
      <c r="R440" t="s">
        <v>220</v>
      </c>
      <c r="S440" t="s">
        <v>25</v>
      </c>
      <c r="T440" t="str">
        <f>_xlfn.XLOOKUP(Tabela14[[#This Row],[Categoria]],CATEGORIAS!$C:$C,CATEGORIAS!$D:$D,"")</f>
        <v>2.4 Despesas Administrativas</v>
      </c>
    </row>
    <row r="441" spans="2:20" x14ac:dyDescent="0.25">
      <c r="B441"/>
      <c r="C441"/>
      <c r="D441" s="1">
        <v>46108</v>
      </c>
      <c r="E441" s="1">
        <v>46108</v>
      </c>
      <c r="F441" s="17">
        <v>46108</v>
      </c>
      <c r="G441" t="s">
        <v>184</v>
      </c>
      <c r="H441" t="s">
        <v>27</v>
      </c>
      <c r="I441" t="s">
        <v>110</v>
      </c>
      <c r="J441" s="31">
        <v>-2500</v>
      </c>
      <c r="K441" s="31">
        <v>0</v>
      </c>
      <c r="L441" s="33">
        <v>-2500</v>
      </c>
      <c r="M441" t="s">
        <v>185</v>
      </c>
      <c r="N441" t="s">
        <v>200</v>
      </c>
      <c r="O441" s="34" t="s">
        <v>507</v>
      </c>
      <c r="P441" t="s">
        <v>187</v>
      </c>
      <c r="Q441" t="s">
        <v>23</v>
      </c>
      <c r="R441" t="s">
        <v>225</v>
      </c>
      <c r="S441" t="s">
        <v>25</v>
      </c>
      <c r="T441" t="str">
        <f>_xlfn.XLOOKUP(Tabela14[[#This Row],[Categoria]],CATEGORIAS!$C:$C,CATEGORIAS!$D:$D,"")</f>
        <v>2.1 Despesas Diretas</v>
      </c>
    </row>
    <row r="442" spans="2:20" x14ac:dyDescent="0.25">
      <c r="B442"/>
      <c r="C442"/>
      <c r="D442" s="1">
        <v>46122</v>
      </c>
      <c r="E442" s="1">
        <v>46122</v>
      </c>
      <c r="F442" s="17">
        <v>46122</v>
      </c>
      <c r="G442" t="s">
        <v>184</v>
      </c>
      <c r="H442" t="s">
        <v>27</v>
      </c>
      <c r="I442" t="s">
        <v>142</v>
      </c>
      <c r="J442" s="30">
        <v>-7500</v>
      </c>
      <c r="K442" s="30">
        <v>0</v>
      </c>
      <c r="L442" s="33">
        <v>-7500</v>
      </c>
      <c r="M442" t="s">
        <v>185</v>
      </c>
      <c r="N442" t="s">
        <v>200</v>
      </c>
      <c r="O442" s="34" t="s">
        <v>508</v>
      </c>
      <c r="P442" t="s">
        <v>187</v>
      </c>
      <c r="Q442" t="s">
        <v>23</v>
      </c>
      <c r="R442" t="s">
        <v>23</v>
      </c>
      <c r="S442" t="s">
        <v>25</v>
      </c>
      <c r="T442" t="str">
        <f>_xlfn.XLOOKUP(Tabela14[[#This Row],[Categoria]],CATEGORIAS!$C:$C,CATEGORIAS!$D:$D,"")</f>
        <v>2.4 Despesas Administrativas</v>
      </c>
    </row>
    <row r="443" spans="2:20" x14ac:dyDescent="0.25">
      <c r="B443"/>
      <c r="C443"/>
      <c r="D443" s="1">
        <v>46122</v>
      </c>
      <c r="E443" s="1">
        <v>46122</v>
      </c>
      <c r="F443" s="17">
        <v>46122</v>
      </c>
      <c r="G443" t="s">
        <v>26</v>
      </c>
      <c r="H443" t="s">
        <v>27</v>
      </c>
      <c r="I443" t="s">
        <v>142</v>
      </c>
      <c r="J443" s="31">
        <v>-15000</v>
      </c>
      <c r="K443" s="31">
        <v>-5000</v>
      </c>
      <c r="L443" s="33">
        <v>-10000</v>
      </c>
      <c r="M443" t="s">
        <v>185</v>
      </c>
      <c r="N443" t="s">
        <v>200</v>
      </c>
      <c r="O443" s="34" t="s">
        <v>509</v>
      </c>
      <c r="P443" t="s">
        <v>187</v>
      </c>
      <c r="Q443" t="s">
        <v>23</v>
      </c>
      <c r="R443" t="s">
        <v>23</v>
      </c>
      <c r="S443" t="s">
        <v>25</v>
      </c>
      <c r="T443" t="str">
        <f>_xlfn.XLOOKUP(Tabela14[[#This Row],[Categoria]],CATEGORIAS!$C:$C,CATEGORIAS!$D:$D,"")</f>
        <v>2.4 Despesas Administrativas</v>
      </c>
    </row>
    <row r="444" spans="2:20" x14ac:dyDescent="0.25">
      <c r="B444"/>
      <c r="C444"/>
      <c r="D444" s="1">
        <v>46122</v>
      </c>
      <c r="E444" s="1">
        <v>46122</v>
      </c>
      <c r="F444" s="17">
        <v>46132</v>
      </c>
      <c r="G444" t="s">
        <v>184</v>
      </c>
      <c r="H444" t="s">
        <v>27</v>
      </c>
      <c r="I444" t="s">
        <v>98</v>
      </c>
      <c r="J444" s="30">
        <v>-1100</v>
      </c>
      <c r="K444" s="30">
        <v>0</v>
      </c>
      <c r="L444" s="33">
        <v>-1100</v>
      </c>
      <c r="M444" t="s">
        <v>185</v>
      </c>
      <c r="N444" t="s">
        <v>200</v>
      </c>
      <c r="O444" s="34" t="s">
        <v>510</v>
      </c>
      <c r="P444" t="s">
        <v>187</v>
      </c>
      <c r="Q444" t="s">
        <v>23</v>
      </c>
      <c r="R444" t="s">
        <v>23</v>
      </c>
      <c r="S444" t="s">
        <v>25</v>
      </c>
      <c r="T444" t="str">
        <f>_xlfn.XLOOKUP(Tabela14[[#This Row],[Categoria]],CATEGORIAS!$C:$C,CATEGORIAS!$D:$D,"")</f>
        <v>2.1 Despesas Diretas</v>
      </c>
    </row>
    <row r="445" spans="2:20" x14ac:dyDescent="0.25">
      <c r="B445"/>
      <c r="C445"/>
      <c r="D445" s="1">
        <v>46150</v>
      </c>
      <c r="E445" s="1">
        <v>46150</v>
      </c>
      <c r="F445" s="17">
        <v>46154</v>
      </c>
      <c r="G445" t="s">
        <v>184</v>
      </c>
      <c r="H445" t="s">
        <v>27</v>
      </c>
      <c r="I445" t="s">
        <v>142</v>
      </c>
      <c r="J445" s="31">
        <v>-7500</v>
      </c>
      <c r="K445" s="30">
        <v>0</v>
      </c>
      <c r="L445" s="33">
        <v>-7500</v>
      </c>
      <c r="M445" t="s">
        <v>185</v>
      </c>
      <c r="N445" t="s">
        <v>200</v>
      </c>
      <c r="O445" s="34" t="s">
        <v>508</v>
      </c>
      <c r="P445" t="s">
        <v>187</v>
      </c>
      <c r="Q445" t="s">
        <v>23</v>
      </c>
      <c r="R445" t="s">
        <v>23</v>
      </c>
      <c r="S445" t="s">
        <v>25</v>
      </c>
      <c r="T445" t="str">
        <f>_xlfn.XLOOKUP(Tabela14[[#This Row],[Categoria]],CATEGORIAS!$C:$C,CATEGORIAS!$D:$D,"")</f>
        <v>2.4 Despesas Administrativas</v>
      </c>
    </row>
    <row r="446" spans="2:20" x14ac:dyDescent="0.25">
      <c r="B446"/>
      <c r="C446"/>
      <c r="D446" s="1">
        <v>46168</v>
      </c>
      <c r="E446" s="1">
        <v>46168</v>
      </c>
      <c r="F446" s="17">
        <v>46153</v>
      </c>
      <c r="G446" t="s">
        <v>279</v>
      </c>
      <c r="H446" t="s">
        <v>27</v>
      </c>
      <c r="I446" t="s">
        <v>142</v>
      </c>
      <c r="J446" s="31">
        <v>-3250</v>
      </c>
      <c r="K446" s="31">
        <v>0</v>
      </c>
      <c r="L446" s="33">
        <v>-3250</v>
      </c>
      <c r="M446" t="s">
        <v>238</v>
      </c>
      <c r="N446" t="s">
        <v>200</v>
      </c>
      <c r="O446" s="34" t="s">
        <v>506</v>
      </c>
      <c r="P446" t="s">
        <v>213</v>
      </c>
      <c r="Q446" t="s">
        <v>23</v>
      </c>
      <c r="R446" t="s">
        <v>220</v>
      </c>
      <c r="S446" t="s">
        <v>25</v>
      </c>
      <c r="T446" t="str">
        <f>_xlfn.XLOOKUP(Tabela14[[#This Row],[Categoria]],CATEGORIAS!$C:$C,CATEGORIAS!$D:$D,"")</f>
        <v>2.4 Despesas Administrativas</v>
      </c>
    </row>
    <row r="447" spans="2:20" x14ac:dyDescent="0.25">
      <c r="B447"/>
      <c r="C447"/>
      <c r="D447" s="1">
        <v>46150</v>
      </c>
      <c r="E447" s="1">
        <v>46150</v>
      </c>
      <c r="F447" s="17">
        <v>46154</v>
      </c>
      <c r="G447" t="s">
        <v>184</v>
      </c>
      <c r="H447" t="s">
        <v>27</v>
      </c>
      <c r="I447" t="s">
        <v>142</v>
      </c>
      <c r="J447" s="30">
        <v>-3000</v>
      </c>
      <c r="K447" s="30">
        <v>0</v>
      </c>
      <c r="L447" s="33">
        <v>-3000</v>
      </c>
      <c r="M447" t="s">
        <v>185</v>
      </c>
      <c r="N447" t="s">
        <v>200</v>
      </c>
      <c r="O447" s="34" t="s">
        <v>511</v>
      </c>
      <c r="P447" t="s">
        <v>187</v>
      </c>
      <c r="Q447" t="s">
        <v>23</v>
      </c>
      <c r="R447" t="s">
        <v>23</v>
      </c>
      <c r="S447" t="s">
        <v>25</v>
      </c>
      <c r="T447" t="str">
        <f>_xlfn.XLOOKUP(Tabela14[[#This Row],[Categoria]],CATEGORIAS!$C:$C,CATEGORIAS!$D:$D,"")</f>
        <v>2.4 Despesas Administrativas</v>
      </c>
    </row>
    <row r="448" spans="2:20" x14ac:dyDescent="0.25">
      <c r="B448"/>
      <c r="C448"/>
      <c r="D448" s="1">
        <v>46108</v>
      </c>
      <c r="E448" s="1">
        <v>46108</v>
      </c>
      <c r="F448" s="17">
        <v>46132</v>
      </c>
      <c r="G448" t="s">
        <v>184</v>
      </c>
      <c r="H448" t="s">
        <v>27</v>
      </c>
      <c r="I448" t="s">
        <v>98</v>
      </c>
      <c r="J448" s="30">
        <v>-6100</v>
      </c>
      <c r="K448" s="30">
        <v>0</v>
      </c>
      <c r="L448" s="33">
        <v>-6100</v>
      </c>
      <c r="M448" t="s">
        <v>185</v>
      </c>
      <c r="N448" t="s">
        <v>200</v>
      </c>
      <c r="O448" s="34" t="s">
        <v>512</v>
      </c>
      <c r="P448" t="s">
        <v>187</v>
      </c>
      <c r="Q448" t="s">
        <v>23</v>
      </c>
      <c r="R448" t="s">
        <v>205</v>
      </c>
      <c r="S448" t="s">
        <v>25</v>
      </c>
      <c r="T448" t="str">
        <f>_xlfn.XLOOKUP(Tabela14[[#This Row],[Categoria]],CATEGORIAS!$C:$C,CATEGORIAS!$D:$D,"")</f>
        <v>2.1 Despesas Diretas</v>
      </c>
    </row>
    <row r="449" spans="2:20" x14ac:dyDescent="0.25">
      <c r="B449"/>
      <c r="C449"/>
      <c r="D449" s="1">
        <v>46136</v>
      </c>
      <c r="E449" s="1">
        <v>46136</v>
      </c>
      <c r="F449" s="17">
        <v>46136</v>
      </c>
      <c r="G449" t="s">
        <v>184</v>
      </c>
      <c r="H449" t="s">
        <v>27</v>
      </c>
      <c r="I449" t="s">
        <v>142</v>
      </c>
      <c r="J449" s="31">
        <v>-3000</v>
      </c>
      <c r="K449" s="31">
        <v>0</v>
      </c>
      <c r="L449" s="33">
        <v>-3000</v>
      </c>
      <c r="M449" t="s">
        <v>185</v>
      </c>
      <c r="N449" t="s">
        <v>200</v>
      </c>
      <c r="O449" s="34" t="s">
        <v>511</v>
      </c>
      <c r="P449" t="s">
        <v>187</v>
      </c>
      <c r="Q449" t="s">
        <v>23</v>
      </c>
      <c r="R449" t="s">
        <v>23</v>
      </c>
      <c r="S449" t="s">
        <v>25</v>
      </c>
      <c r="T449" t="str">
        <f>_xlfn.XLOOKUP(Tabela14[[#This Row],[Categoria]],CATEGORIAS!$C:$C,CATEGORIAS!$D:$D,"")</f>
        <v>2.4 Despesas Administrativas</v>
      </c>
    </row>
    <row r="450" spans="2:20" x14ac:dyDescent="0.25">
      <c r="B450"/>
      <c r="C450"/>
      <c r="D450" s="1">
        <v>46122</v>
      </c>
      <c r="E450" s="1">
        <v>46122</v>
      </c>
      <c r="F450" s="17">
        <v>46132</v>
      </c>
      <c r="G450" t="s">
        <v>184</v>
      </c>
      <c r="H450" t="s">
        <v>27</v>
      </c>
      <c r="I450" t="s">
        <v>98</v>
      </c>
      <c r="J450" s="30">
        <v>-750</v>
      </c>
      <c r="K450" s="30">
        <v>0</v>
      </c>
      <c r="L450" s="33">
        <v>-750</v>
      </c>
      <c r="M450" t="s">
        <v>185</v>
      </c>
      <c r="N450" t="s">
        <v>200</v>
      </c>
      <c r="O450" s="34" t="s">
        <v>513</v>
      </c>
      <c r="P450" t="s">
        <v>187</v>
      </c>
      <c r="Q450" t="s">
        <v>23</v>
      </c>
      <c r="R450" t="s">
        <v>23</v>
      </c>
      <c r="S450" t="s">
        <v>25</v>
      </c>
      <c r="T450" t="str">
        <f>_xlfn.XLOOKUP(Tabela14[[#This Row],[Categoria]],CATEGORIAS!$C:$C,CATEGORIAS!$D:$D,"")</f>
        <v>2.1 Despesas Diretas</v>
      </c>
    </row>
    <row r="451" spans="2:20" x14ac:dyDescent="0.25">
      <c r="B451"/>
      <c r="C451"/>
      <c r="D451" s="1">
        <v>46150</v>
      </c>
      <c r="E451" s="1">
        <v>46150</v>
      </c>
      <c r="F451" s="17">
        <v>46154</v>
      </c>
      <c r="G451" t="s">
        <v>184</v>
      </c>
      <c r="H451" t="s">
        <v>27</v>
      </c>
      <c r="I451" t="s">
        <v>142</v>
      </c>
      <c r="J451" s="31">
        <v>-15000</v>
      </c>
      <c r="K451" s="31">
        <v>0</v>
      </c>
      <c r="L451" s="33">
        <v>-15000</v>
      </c>
      <c r="M451" t="s">
        <v>185</v>
      </c>
      <c r="N451" t="s">
        <v>200</v>
      </c>
      <c r="O451" s="34" t="s">
        <v>509</v>
      </c>
      <c r="P451" t="s">
        <v>187</v>
      </c>
      <c r="Q451" t="s">
        <v>23</v>
      </c>
      <c r="R451" t="s">
        <v>23</v>
      </c>
      <c r="S451" t="s">
        <v>25</v>
      </c>
      <c r="T451" t="str">
        <f>_xlfn.XLOOKUP(Tabela14[[#This Row],[Categoria]],CATEGORIAS!$C:$C,CATEGORIAS!$D:$D,"")</f>
        <v>2.4 Despesas Administrativas</v>
      </c>
    </row>
    <row r="452" spans="2:20" x14ac:dyDescent="0.25">
      <c r="B452"/>
      <c r="C452"/>
      <c r="D452" s="1">
        <v>46152</v>
      </c>
      <c r="E452" s="1">
        <v>46152</v>
      </c>
      <c r="F452" s="17">
        <v>46152</v>
      </c>
      <c r="G452" t="s">
        <v>277</v>
      </c>
      <c r="H452" t="s">
        <v>27</v>
      </c>
      <c r="I452" t="s">
        <v>142</v>
      </c>
      <c r="J452" s="31">
        <v>-2000</v>
      </c>
      <c r="K452" s="31">
        <v>0</v>
      </c>
      <c r="L452" s="33">
        <v>-2000</v>
      </c>
      <c r="M452" t="s">
        <v>185</v>
      </c>
      <c r="N452" t="s">
        <v>200</v>
      </c>
      <c r="O452" s="34" t="s">
        <v>504</v>
      </c>
      <c r="P452" t="s">
        <v>213</v>
      </c>
      <c r="Q452" t="s">
        <v>23</v>
      </c>
      <c r="R452" t="s">
        <v>23</v>
      </c>
      <c r="S452" t="s">
        <v>25</v>
      </c>
      <c r="T452" t="str">
        <f>_xlfn.XLOOKUP(Tabela14[[#This Row],[Categoria]],CATEGORIAS!$C:$C,CATEGORIAS!$D:$D,"")</f>
        <v>2.4 Despesas Administrativas</v>
      </c>
    </row>
    <row r="453" spans="2:20" x14ac:dyDescent="0.25">
      <c r="B453"/>
      <c r="C453"/>
      <c r="D453" s="1">
        <v>46150</v>
      </c>
      <c r="E453" s="1">
        <v>46150</v>
      </c>
      <c r="F453" s="17">
        <v>46154</v>
      </c>
      <c r="G453" t="s">
        <v>184</v>
      </c>
      <c r="H453" t="s">
        <v>27</v>
      </c>
      <c r="I453" t="s">
        <v>142</v>
      </c>
      <c r="J453" s="30">
        <v>-3000</v>
      </c>
      <c r="K453" s="30">
        <v>0</v>
      </c>
      <c r="L453" s="33">
        <v>-3000</v>
      </c>
      <c r="M453" t="s">
        <v>185</v>
      </c>
      <c r="N453" t="s">
        <v>200</v>
      </c>
      <c r="O453" s="34" t="s">
        <v>505</v>
      </c>
      <c r="P453" t="s">
        <v>187</v>
      </c>
      <c r="Q453" t="s">
        <v>23</v>
      </c>
      <c r="R453" t="s">
        <v>23</v>
      </c>
      <c r="S453" t="s">
        <v>25</v>
      </c>
      <c r="T453" t="str">
        <f>_xlfn.XLOOKUP(Tabela14[[#This Row],[Categoria]],CATEGORIAS!$C:$C,CATEGORIAS!$D:$D,"")</f>
        <v>2.4 Despesas Administrativas</v>
      </c>
    </row>
    <row r="454" spans="2:20" x14ac:dyDescent="0.25">
      <c r="B454"/>
      <c r="C454"/>
      <c r="D454" s="1">
        <v>46150</v>
      </c>
      <c r="E454" s="1">
        <v>46150</v>
      </c>
      <c r="F454" s="17">
        <v>46154</v>
      </c>
      <c r="G454" t="s">
        <v>184</v>
      </c>
      <c r="H454" t="s">
        <v>27</v>
      </c>
      <c r="I454" t="s">
        <v>142</v>
      </c>
      <c r="J454" s="30">
        <v>-3500</v>
      </c>
      <c r="K454" s="30">
        <v>0</v>
      </c>
      <c r="L454" s="33">
        <v>-3500</v>
      </c>
      <c r="M454" t="s">
        <v>185</v>
      </c>
      <c r="N454" t="s">
        <v>200</v>
      </c>
      <c r="O454" s="34" t="s">
        <v>503</v>
      </c>
      <c r="P454" t="s">
        <v>187</v>
      </c>
      <c r="Q454" t="s">
        <v>23</v>
      </c>
      <c r="R454" t="s">
        <v>23</v>
      </c>
      <c r="S454" t="s">
        <v>25</v>
      </c>
      <c r="T454" t="str">
        <f>_xlfn.XLOOKUP(Tabela14[[#This Row],[Categoria]],CATEGORIAS!$C:$C,CATEGORIAS!$D:$D,"")</f>
        <v>2.4 Despesas Administrativas</v>
      </c>
    </row>
    <row r="455" spans="2:20" x14ac:dyDescent="0.25">
      <c r="B455"/>
      <c r="C455"/>
      <c r="D455" s="1">
        <v>46122</v>
      </c>
      <c r="E455" s="1">
        <v>46122</v>
      </c>
      <c r="F455" s="17">
        <v>46132</v>
      </c>
      <c r="G455" t="s">
        <v>184</v>
      </c>
      <c r="H455" t="s">
        <v>27</v>
      </c>
      <c r="I455" t="s">
        <v>98</v>
      </c>
      <c r="J455" s="30">
        <v>-750</v>
      </c>
      <c r="K455" s="30">
        <v>0</v>
      </c>
      <c r="L455" s="33">
        <v>-750</v>
      </c>
      <c r="M455" t="s">
        <v>185</v>
      </c>
      <c r="N455" t="s">
        <v>200</v>
      </c>
      <c r="O455" s="34" t="s">
        <v>514</v>
      </c>
      <c r="P455" t="s">
        <v>187</v>
      </c>
      <c r="Q455" t="s">
        <v>23</v>
      </c>
      <c r="R455" t="s">
        <v>23</v>
      </c>
      <c r="S455" t="s">
        <v>25</v>
      </c>
      <c r="T455" t="str">
        <f>_xlfn.XLOOKUP(Tabela14[[#This Row],[Categoria]],CATEGORIAS!$C:$C,CATEGORIAS!$D:$D,"")</f>
        <v>2.1 Despesas Diretas</v>
      </c>
    </row>
    <row r="456" spans="2:20" x14ac:dyDescent="0.25">
      <c r="B456"/>
      <c r="C456"/>
      <c r="D456" s="1">
        <v>46178</v>
      </c>
      <c r="E456" s="1">
        <v>46178</v>
      </c>
      <c r="F456" s="17">
        <v>46182</v>
      </c>
      <c r="G456" t="s">
        <v>184</v>
      </c>
      <c r="H456" t="s">
        <v>27</v>
      </c>
      <c r="I456" t="s">
        <v>142</v>
      </c>
      <c r="J456" s="30">
        <v>-3000</v>
      </c>
      <c r="K456" s="30">
        <v>0</v>
      </c>
      <c r="L456" s="33">
        <v>-3000</v>
      </c>
      <c r="M456" t="s">
        <v>185</v>
      </c>
      <c r="N456" t="s">
        <v>200</v>
      </c>
      <c r="O456" s="34" t="s">
        <v>505</v>
      </c>
      <c r="P456" t="s">
        <v>187</v>
      </c>
      <c r="Q456" t="s">
        <v>23</v>
      </c>
      <c r="R456" t="s">
        <v>23</v>
      </c>
      <c r="S456" t="s">
        <v>25</v>
      </c>
      <c r="T456" t="str">
        <f>_xlfn.XLOOKUP(Tabela14[[#This Row],[Categoria]],CATEGORIAS!$C:$C,CATEGORIAS!$D:$D,"")</f>
        <v>2.4 Despesas Administrativas</v>
      </c>
    </row>
    <row r="457" spans="2:20" x14ac:dyDescent="0.25">
      <c r="B457"/>
      <c r="C457"/>
      <c r="D457" s="1">
        <v>46152</v>
      </c>
      <c r="E457" s="1">
        <v>46152</v>
      </c>
      <c r="F457" s="17">
        <v>46162</v>
      </c>
      <c r="G457" t="s">
        <v>184</v>
      </c>
      <c r="H457" t="s">
        <v>27</v>
      </c>
      <c r="I457" t="s">
        <v>98</v>
      </c>
      <c r="J457" s="30">
        <v>-1100</v>
      </c>
      <c r="K457" s="30">
        <v>0</v>
      </c>
      <c r="L457" s="33">
        <v>-1100</v>
      </c>
      <c r="M457" t="s">
        <v>185</v>
      </c>
      <c r="N457" t="s">
        <v>200</v>
      </c>
      <c r="O457" s="34" t="s">
        <v>510</v>
      </c>
      <c r="P457" t="s">
        <v>213</v>
      </c>
      <c r="Q457" t="s">
        <v>23</v>
      </c>
      <c r="R457" t="s">
        <v>23</v>
      </c>
      <c r="S457" t="s">
        <v>25</v>
      </c>
      <c r="T457" t="str">
        <f>_xlfn.XLOOKUP(Tabela14[[#This Row],[Categoria]],CATEGORIAS!$C:$C,CATEGORIAS!$D:$D,"")</f>
        <v>2.1 Despesas Diretas</v>
      </c>
    </row>
    <row r="458" spans="2:20" x14ac:dyDescent="0.25">
      <c r="B458"/>
      <c r="C458"/>
      <c r="D458" s="1">
        <v>46164</v>
      </c>
      <c r="E458" s="1">
        <v>46164</v>
      </c>
      <c r="F458" s="17">
        <v>46164</v>
      </c>
      <c r="G458" t="s">
        <v>184</v>
      </c>
      <c r="H458" t="s">
        <v>27</v>
      </c>
      <c r="I458" t="s">
        <v>142</v>
      </c>
      <c r="J458" s="30">
        <v>-3000</v>
      </c>
      <c r="K458" s="30">
        <v>0</v>
      </c>
      <c r="L458" s="33">
        <v>-3000</v>
      </c>
      <c r="M458" t="s">
        <v>185</v>
      </c>
      <c r="N458" t="s">
        <v>200</v>
      </c>
      <c r="O458" s="34" t="s">
        <v>511</v>
      </c>
      <c r="P458" t="s">
        <v>187</v>
      </c>
      <c r="Q458" t="s">
        <v>23</v>
      </c>
      <c r="R458" t="s">
        <v>23</v>
      </c>
      <c r="S458" t="s">
        <v>25</v>
      </c>
      <c r="T458" t="str">
        <f>_xlfn.XLOOKUP(Tabela14[[#This Row],[Categoria]],CATEGORIAS!$C:$C,CATEGORIAS!$D:$D,"")</f>
        <v>2.4 Despesas Administrativas</v>
      </c>
    </row>
    <row r="459" spans="2:20" x14ac:dyDescent="0.25">
      <c r="B459"/>
      <c r="C459"/>
      <c r="D459" s="1">
        <v>46152</v>
      </c>
      <c r="E459" s="1">
        <v>46152</v>
      </c>
      <c r="F459" s="17">
        <v>46162</v>
      </c>
      <c r="G459" t="s">
        <v>184</v>
      </c>
      <c r="H459" t="s">
        <v>27</v>
      </c>
      <c r="I459" t="s">
        <v>98</v>
      </c>
      <c r="J459" s="30">
        <v>-750</v>
      </c>
      <c r="K459" s="30">
        <v>0</v>
      </c>
      <c r="L459" s="33">
        <v>-750</v>
      </c>
      <c r="M459" t="s">
        <v>185</v>
      </c>
      <c r="N459" t="s">
        <v>200</v>
      </c>
      <c r="O459" s="34" t="s">
        <v>513</v>
      </c>
      <c r="P459" t="s">
        <v>213</v>
      </c>
      <c r="Q459" t="s">
        <v>23</v>
      </c>
      <c r="R459" t="s">
        <v>23</v>
      </c>
      <c r="S459" t="s">
        <v>25</v>
      </c>
      <c r="T459" t="str">
        <f>_xlfn.XLOOKUP(Tabela14[[#This Row],[Categoria]],CATEGORIAS!$C:$C,CATEGORIAS!$D:$D,"")</f>
        <v>2.1 Despesas Diretas</v>
      </c>
    </row>
    <row r="460" spans="2:20" x14ac:dyDescent="0.25">
      <c r="B460"/>
      <c r="C460"/>
      <c r="D460" s="1">
        <v>46183</v>
      </c>
      <c r="E460" s="1">
        <v>46183</v>
      </c>
      <c r="F460" s="17">
        <v>46183</v>
      </c>
      <c r="G460" t="s">
        <v>277</v>
      </c>
      <c r="H460" t="s">
        <v>27</v>
      </c>
      <c r="I460" t="s">
        <v>142</v>
      </c>
      <c r="J460" s="30">
        <v>-2000</v>
      </c>
      <c r="K460" s="30">
        <v>0</v>
      </c>
      <c r="L460" s="33">
        <v>-2000</v>
      </c>
      <c r="M460" t="s">
        <v>185</v>
      </c>
      <c r="N460" t="s">
        <v>200</v>
      </c>
      <c r="O460" s="34" t="s">
        <v>504</v>
      </c>
      <c r="P460" t="s">
        <v>213</v>
      </c>
      <c r="Q460" t="s">
        <v>23</v>
      </c>
      <c r="R460" t="s">
        <v>23</v>
      </c>
      <c r="S460" t="s">
        <v>25</v>
      </c>
      <c r="T460" t="str">
        <f>_xlfn.XLOOKUP(Tabela14[[#This Row],[Categoria]],CATEGORIAS!$C:$C,CATEGORIAS!$D:$D,"")</f>
        <v>2.4 Despesas Administrativas</v>
      </c>
    </row>
    <row r="461" spans="2:20" x14ac:dyDescent="0.25">
      <c r="B461"/>
      <c r="C461"/>
      <c r="D461" s="1">
        <v>46178</v>
      </c>
      <c r="E461" s="1">
        <v>46178</v>
      </c>
      <c r="F461" s="17">
        <v>46182</v>
      </c>
      <c r="G461" t="s">
        <v>184</v>
      </c>
      <c r="H461" t="s">
        <v>27</v>
      </c>
      <c r="I461" t="s">
        <v>142</v>
      </c>
      <c r="J461" s="30">
        <v>-3000</v>
      </c>
      <c r="K461" s="30">
        <v>0</v>
      </c>
      <c r="L461" s="33">
        <v>-3000</v>
      </c>
      <c r="M461" t="s">
        <v>185</v>
      </c>
      <c r="N461" t="s">
        <v>200</v>
      </c>
      <c r="O461" s="34" t="s">
        <v>511</v>
      </c>
      <c r="P461" t="s">
        <v>187</v>
      </c>
      <c r="Q461" t="s">
        <v>23</v>
      </c>
      <c r="R461" t="s">
        <v>23</v>
      </c>
      <c r="S461" t="s">
        <v>25</v>
      </c>
      <c r="T461" t="str">
        <f>_xlfn.XLOOKUP(Tabela14[[#This Row],[Categoria]],CATEGORIAS!$C:$C,CATEGORIAS!$D:$D,"")</f>
        <v>2.4 Despesas Administrativas</v>
      </c>
    </row>
    <row r="462" spans="2:20" x14ac:dyDescent="0.25">
      <c r="B462"/>
      <c r="C462"/>
      <c r="D462" s="1">
        <v>46152</v>
      </c>
      <c r="E462" s="1">
        <v>46152</v>
      </c>
      <c r="F462" s="17">
        <v>46162</v>
      </c>
      <c r="G462" t="s">
        <v>184</v>
      </c>
      <c r="H462" t="s">
        <v>27</v>
      </c>
      <c r="I462" t="s">
        <v>98</v>
      </c>
      <c r="J462" s="30">
        <v>-750</v>
      </c>
      <c r="K462" s="30">
        <v>0</v>
      </c>
      <c r="L462" s="33">
        <v>-750</v>
      </c>
      <c r="M462" t="s">
        <v>185</v>
      </c>
      <c r="N462" t="s">
        <v>200</v>
      </c>
      <c r="O462" s="34" t="s">
        <v>514</v>
      </c>
      <c r="P462" t="s">
        <v>213</v>
      </c>
      <c r="Q462" t="s">
        <v>23</v>
      </c>
      <c r="R462" t="s">
        <v>23</v>
      </c>
      <c r="S462" t="s">
        <v>25</v>
      </c>
      <c r="T462" t="str">
        <f>_xlfn.XLOOKUP(Tabela14[[#This Row],[Categoria]],CATEGORIAS!$C:$C,CATEGORIAS!$D:$D,"")</f>
        <v>2.1 Despesas Diretas</v>
      </c>
    </row>
    <row r="463" spans="2:20" x14ac:dyDescent="0.25">
      <c r="B463"/>
      <c r="C463"/>
      <c r="D463" s="1">
        <v>46198</v>
      </c>
      <c r="E463" s="1">
        <v>46198</v>
      </c>
      <c r="F463" s="17">
        <v>46183</v>
      </c>
      <c r="G463" t="s">
        <v>279</v>
      </c>
      <c r="H463" t="s">
        <v>27</v>
      </c>
      <c r="I463" t="s">
        <v>142</v>
      </c>
      <c r="J463" s="30">
        <v>-3250</v>
      </c>
      <c r="K463" s="30">
        <v>0</v>
      </c>
      <c r="L463" s="33">
        <v>-3250</v>
      </c>
      <c r="M463" t="s">
        <v>238</v>
      </c>
      <c r="N463" t="s">
        <v>200</v>
      </c>
      <c r="O463" s="34" t="s">
        <v>506</v>
      </c>
      <c r="P463" t="s">
        <v>213</v>
      </c>
      <c r="Q463" t="s">
        <v>23</v>
      </c>
      <c r="R463" t="s">
        <v>220</v>
      </c>
      <c r="S463" t="s">
        <v>25</v>
      </c>
      <c r="T463" t="str">
        <f>_xlfn.XLOOKUP(Tabela14[[#This Row],[Categoria]],CATEGORIAS!$C:$C,CATEGORIAS!$D:$D,"")</f>
        <v>2.4 Despesas Administrativas</v>
      </c>
    </row>
    <row r="464" spans="2:20" x14ac:dyDescent="0.25">
      <c r="B464"/>
      <c r="C464"/>
      <c r="D464" s="1">
        <v>46178</v>
      </c>
      <c r="E464" s="1">
        <v>46178</v>
      </c>
      <c r="F464" s="17">
        <v>46182</v>
      </c>
      <c r="G464" t="s">
        <v>184</v>
      </c>
      <c r="H464" t="s">
        <v>27</v>
      </c>
      <c r="I464" t="s">
        <v>142</v>
      </c>
      <c r="J464" s="30">
        <v>-7500</v>
      </c>
      <c r="K464" s="30">
        <v>0</v>
      </c>
      <c r="L464" s="33">
        <v>-7500</v>
      </c>
      <c r="M464" t="s">
        <v>185</v>
      </c>
      <c r="N464" t="s">
        <v>200</v>
      </c>
      <c r="O464" s="34" t="s">
        <v>508</v>
      </c>
      <c r="P464" t="s">
        <v>187</v>
      </c>
      <c r="Q464" t="s">
        <v>23</v>
      </c>
      <c r="R464" t="s">
        <v>23</v>
      </c>
      <c r="S464" t="s">
        <v>25</v>
      </c>
      <c r="T464" t="str">
        <f>_xlfn.XLOOKUP(Tabela14[[#This Row],[Categoria]],CATEGORIAS!$C:$C,CATEGORIAS!$D:$D,"")</f>
        <v>2.4 Despesas Administrativas</v>
      </c>
    </row>
    <row r="465" spans="2:20" x14ac:dyDescent="0.25">
      <c r="B465"/>
      <c r="C465"/>
      <c r="D465" s="1">
        <v>46178</v>
      </c>
      <c r="E465" s="1">
        <v>46178</v>
      </c>
      <c r="F465" s="17">
        <v>46182</v>
      </c>
      <c r="G465" t="s">
        <v>184</v>
      </c>
      <c r="H465" t="s">
        <v>27</v>
      </c>
      <c r="I465" t="s">
        <v>142</v>
      </c>
      <c r="J465" s="30">
        <v>-15000</v>
      </c>
      <c r="K465" s="30">
        <v>0</v>
      </c>
      <c r="L465" s="33">
        <v>-15000</v>
      </c>
      <c r="M465" t="s">
        <v>185</v>
      </c>
      <c r="N465" t="s">
        <v>200</v>
      </c>
      <c r="O465" s="34" t="s">
        <v>509</v>
      </c>
      <c r="P465" t="s">
        <v>187</v>
      </c>
      <c r="Q465" t="s">
        <v>23</v>
      </c>
      <c r="R465" t="s">
        <v>23</v>
      </c>
      <c r="S465" t="s">
        <v>25</v>
      </c>
      <c r="T465" t="str">
        <f>_xlfn.XLOOKUP(Tabela14[[#This Row],[Categoria]],CATEGORIAS!$C:$C,CATEGORIAS!$D:$D,"")</f>
        <v>2.4 Despesas Administrativas</v>
      </c>
    </row>
    <row r="466" spans="2:20" x14ac:dyDescent="0.25">
      <c r="B466"/>
      <c r="C466"/>
      <c r="D466" s="1">
        <v>46178</v>
      </c>
      <c r="E466" s="1">
        <v>46178</v>
      </c>
      <c r="F466" s="17">
        <v>46182</v>
      </c>
      <c r="G466" t="s">
        <v>184</v>
      </c>
      <c r="H466" t="s">
        <v>27</v>
      </c>
      <c r="I466" t="s">
        <v>142</v>
      </c>
      <c r="J466" s="30">
        <v>-3500</v>
      </c>
      <c r="K466" s="30">
        <v>0</v>
      </c>
      <c r="L466" s="33">
        <v>-3500</v>
      </c>
      <c r="M466" t="s">
        <v>185</v>
      </c>
      <c r="N466" t="s">
        <v>200</v>
      </c>
      <c r="O466" s="34" t="s">
        <v>503</v>
      </c>
      <c r="P466" t="s">
        <v>187</v>
      </c>
      <c r="Q466" t="s">
        <v>23</v>
      </c>
      <c r="R466" t="s">
        <v>23</v>
      </c>
      <c r="S466" t="s">
        <v>25</v>
      </c>
      <c r="T466" t="str">
        <f>_xlfn.XLOOKUP(Tabela14[[#This Row],[Categoria]],CATEGORIAS!$C:$C,CATEGORIAS!$D:$D,"")</f>
        <v>2.4 Despesas Administrativas</v>
      </c>
    </row>
    <row r="467" spans="2:20" x14ac:dyDescent="0.25">
      <c r="B467"/>
      <c r="C467"/>
      <c r="D467" s="1">
        <v>46213</v>
      </c>
      <c r="E467" s="1">
        <v>46213</v>
      </c>
      <c r="F467" s="17">
        <v>46213</v>
      </c>
      <c r="G467" t="s">
        <v>277</v>
      </c>
      <c r="H467" t="s">
        <v>27</v>
      </c>
      <c r="I467" t="s">
        <v>142</v>
      </c>
      <c r="J467" s="30">
        <v>-2000</v>
      </c>
      <c r="K467" s="30">
        <v>0</v>
      </c>
      <c r="L467" s="33">
        <v>-2000</v>
      </c>
      <c r="M467" t="s">
        <v>185</v>
      </c>
      <c r="N467" t="s">
        <v>200</v>
      </c>
      <c r="O467" s="34" t="s">
        <v>504</v>
      </c>
      <c r="P467" t="s">
        <v>213</v>
      </c>
      <c r="Q467" t="s">
        <v>23</v>
      </c>
      <c r="R467" t="s">
        <v>23</v>
      </c>
      <c r="S467" t="s">
        <v>25</v>
      </c>
      <c r="T467" t="str">
        <f>_xlfn.XLOOKUP(Tabela14[[#This Row],[Categoria]],CATEGORIAS!$C:$C,CATEGORIAS!$D:$D,"")</f>
        <v>2.4 Despesas Administrativas</v>
      </c>
    </row>
    <row r="468" spans="2:20" x14ac:dyDescent="0.25">
      <c r="B468"/>
      <c r="C468"/>
      <c r="D468" s="1">
        <v>46206</v>
      </c>
      <c r="E468" s="1">
        <v>46206</v>
      </c>
      <c r="F468" s="17">
        <v>46210</v>
      </c>
      <c r="G468" t="s">
        <v>184</v>
      </c>
      <c r="H468" t="s">
        <v>27</v>
      </c>
      <c r="I468" t="s">
        <v>142</v>
      </c>
      <c r="J468" s="30">
        <v>-3500</v>
      </c>
      <c r="K468" s="30">
        <v>0</v>
      </c>
      <c r="L468" s="33">
        <v>-3500</v>
      </c>
      <c r="M468" t="s">
        <v>185</v>
      </c>
      <c r="N468" t="s">
        <v>200</v>
      </c>
      <c r="O468" s="34" t="s">
        <v>503</v>
      </c>
      <c r="P468" t="s">
        <v>187</v>
      </c>
      <c r="Q468" t="s">
        <v>23</v>
      </c>
      <c r="R468" t="s">
        <v>23</v>
      </c>
      <c r="S468" t="s">
        <v>25</v>
      </c>
      <c r="T468" t="str">
        <f>_xlfn.XLOOKUP(Tabela14[[#This Row],[Categoria]],CATEGORIAS!$C:$C,CATEGORIAS!$D:$D,"")</f>
        <v>2.4 Despesas Administrativas</v>
      </c>
    </row>
    <row r="469" spans="2:20" x14ac:dyDescent="0.25">
      <c r="B469"/>
      <c r="C469"/>
      <c r="D469" s="1">
        <v>46206</v>
      </c>
      <c r="E469" s="1">
        <v>46206</v>
      </c>
      <c r="F469" s="17">
        <v>46210</v>
      </c>
      <c r="G469" t="s">
        <v>184</v>
      </c>
      <c r="H469" t="s">
        <v>27</v>
      </c>
      <c r="I469" t="s">
        <v>142</v>
      </c>
      <c r="J469" s="30">
        <v>-15000</v>
      </c>
      <c r="K469" s="30">
        <v>0</v>
      </c>
      <c r="L469" s="33">
        <v>-15000</v>
      </c>
      <c r="M469" t="s">
        <v>185</v>
      </c>
      <c r="N469" t="s">
        <v>200</v>
      </c>
      <c r="O469" s="34" t="s">
        <v>509</v>
      </c>
      <c r="P469" t="s">
        <v>187</v>
      </c>
      <c r="Q469" t="s">
        <v>23</v>
      </c>
      <c r="R469" t="s">
        <v>23</v>
      </c>
      <c r="S469" t="s">
        <v>25</v>
      </c>
      <c r="T469" t="str">
        <f>_xlfn.XLOOKUP(Tabela14[[#This Row],[Categoria]],CATEGORIAS!$C:$C,CATEGORIAS!$D:$D,"")</f>
        <v>2.4 Despesas Administrativas</v>
      </c>
    </row>
    <row r="470" spans="2:20" x14ac:dyDescent="0.25">
      <c r="B470"/>
      <c r="C470"/>
      <c r="D470" s="1">
        <v>46183</v>
      </c>
      <c r="E470" s="1">
        <v>46183</v>
      </c>
      <c r="F470" s="17">
        <v>46193</v>
      </c>
      <c r="G470" t="s">
        <v>184</v>
      </c>
      <c r="H470" t="s">
        <v>27</v>
      </c>
      <c r="I470" t="s">
        <v>98</v>
      </c>
      <c r="J470" s="30">
        <v>-750</v>
      </c>
      <c r="K470" s="30">
        <v>0</v>
      </c>
      <c r="L470" s="33">
        <v>-750</v>
      </c>
      <c r="M470" t="s">
        <v>185</v>
      </c>
      <c r="N470" t="s">
        <v>200</v>
      </c>
      <c r="O470" s="34" t="s">
        <v>514</v>
      </c>
      <c r="P470" t="s">
        <v>213</v>
      </c>
      <c r="Q470" t="s">
        <v>23</v>
      </c>
      <c r="R470" t="s">
        <v>23</v>
      </c>
      <c r="S470" t="s">
        <v>25</v>
      </c>
      <c r="T470" t="str">
        <f>_xlfn.XLOOKUP(Tabela14[[#This Row],[Categoria]],CATEGORIAS!$C:$C,CATEGORIAS!$D:$D,"")</f>
        <v>2.1 Despesas Diretas</v>
      </c>
    </row>
    <row r="471" spans="2:20" x14ac:dyDescent="0.25">
      <c r="B471"/>
      <c r="C471"/>
      <c r="D471" s="1">
        <v>46206</v>
      </c>
      <c r="E471" s="1">
        <v>46206</v>
      </c>
      <c r="F471" s="17">
        <v>46210</v>
      </c>
      <c r="G471" t="s">
        <v>184</v>
      </c>
      <c r="H471" t="s">
        <v>27</v>
      </c>
      <c r="I471" t="s">
        <v>142</v>
      </c>
      <c r="J471" s="30">
        <v>-3000</v>
      </c>
      <c r="K471" s="30">
        <v>0</v>
      </c>
      <c r="L471" s="33">
        <v>-3000</v>
      </c>
      <c r="M471" t="s">
        <v>185</v>
      </c>
      <c r="N471" t="s">
        <v>200</v>
      </c>
      <c r="O471" s="34" t="s">
        <v>505</v>
      </c>
      <c r="P471" t="s">
        <v>187</v>
      </c>
      <c r="Q471" t="s">
        <v>23</v>
      </c>
      <c r="R471" t="s">
        <v>23</v>
      </c>
      <c r="S471" t="s">
        <v>25</v>
      </c>
      <c r="T471" t="str">
        <f>_xlfn.XLOOKUP(Tabela14[[#This Row],[Categoria]],CATEGORIAS!$C:$C,CATEGORIAS!$D:$D,"")</f>
        <v>2.4 Despesas Administrativas</v>
      </c>
    </row>
    <row r="472" spans="2:20" x14ac:dyDescent="0.25">
      <c r="B472"/>
      <c r="C472"/>
      <c r="D472" s="1">
        <v>46183</v>
      </c>
      <c r="E472" s="1">
        <v>46183</v>
      </c>
      <c r="F472" s="17">
        <v>46193</v>
      </c>
      <c r="G472" t="s">
        <v>184</v>
      </c>
      <c r="H472" t="s">
        <v>27</v>
      </c>
      <c r="I472" t="s">
        <v>98</v>
      </c>
      <c r="J472" s="30">
        <v>-1100</v>
      </c>
      <c r="K472" s="30">
        <v>0</v>
      </c>
      <c r="L472" s="33">
        <v>-1100</v>
      </c>
      <c r="M472" t="s">
        <v>185</v>
      </c>
      <c r="N472" t="s">
        <v>200</v>
      </c>
      <c r="O472" s="34" t="s">
        <v>510</v>
      </c>
      <c r="P472" t="s">
        <v>213</v>
      </c>
      <c r="Q472" t="s">
        <v>23</v>
      </c>
      <c r="R472" t="s">
        <v>23</v>
      </c>
      <c r="S472" t="s">
        <v>25</v>
      </c>
      <c r="T472" t="str">
        <f>_xlfn.XLOOKUP(Tabela14[[#This Row],[Categoria]],CATEGORIAS!$C:$C,CATEGORIAS!$D:$D,"")</f>
        <v>2.1 Despesas Diretas</v>
      </c>
    </row>
    <row r="473" spans="2:20" x14ac:dyDescent="0.25">
      <c r="B473"/>
      <c r="C473"/>
      <c r="D473" s="1">
        <v>46183</v>
      </c>
      <c r="E473" s="1">
        <v>46183</v>
      </c>
      <c r="F473" s="17">
        <v>46193</v>
      </c>
      <c r="G473" t="s">
        <v>184</v>
      </c>
      <c r="H473" t="s">
        <v>27</v>
      </c>
      <c r="I473" t="s">
        <v>98</v>
      </c>
      <c r="J473" s="30">
        <v>-750</v>
      </c>
      <c r="K473" s="30">
        <v>0</v>
      </c>
      <c r="L473" s="33">
        <v>-750</v>
      </c>
      <c r="M473" t="s">
        <v>185</v>
      </c>
      <c r="N473" t="s">
        <v>200</v>
      </c>
      <c r="O473" s="34" t="s">
        <v>513</v>
      </c>
      <c r="P473" t="s">
        <v>213</v>
      </c>
      <c r="Q473" t="s">
        <v>23</v>
      </c>
      <c r="R473" t="s">
        <v>23</v>
      </c>
      <c r="S473" t="s">
        <v>25</v>
      </c>
      <c r="T473" t="str">
        <f>_xlfn.XLOOKUP(Tabela14[[#This Row],[Categoria]],CATEGORIAS!$C:$C,CATEGORIAS!$D:$D,"")</f>
        <v>2.1 Despesas Diretas</v>
      </c>
    </row>
    <row r="474" spans="2:20" x14ac:dyDescent="0.25">
      <c r="B474"/>
      <c r="C474"/>
      <c r="D474" s="1">
        <v>46206</v>
      </c>
      <c r="E474" s="1">
        <v>46206</v>
      </c>
      <c r="F474" s="17">
        <v>46210</v>
      </c>
      <c r="G474" t="s">
        <v>184</v>
      </c>
      <c r="H474" t="s">
        <v>27</v>
      </c>
      <c r="I474" t="s">
        <v>142</v>
      </c>
      <c r="J474" s="30">
        <v>-7500</v>
      </c>
      <c r="K474" s="30">
        <v>0</v>
      </c>
      <c r="L474" s="33">
        <v>-7500</v>
      </c>
      <c r="M474" t="s">
        <v>185</v>
      </c>
      <c r="N474" t="s">
        <v>200</v>
      </c>
      <c r="O474" s="34" t="s">
        <v>508</v>
      </c>
      <c r="P474" t="s">
        <v>187</v>
      </c>
      <c r="Q474" t="s">
        <v>23</v>
      </c>
      <c r="R474" t="s">
        <v>23</v>
      </c>
      <c r="S474" t="s">
        <v>25</v>
      </c>
      <c r="T474" t="str">
        <f>_xlfn.XLOOKUP(Tabela14[[#This Row],[Categoria]],CATEGORIAS!$C:$C,CATEGORIAS!$D:$D,"")</f>
        <v>2.4 Despesas Administrativas</v>
      </c>
    </row>
    <row r="475" spans="2:20" x14ac:dyDescent="0.25">
      <c r="B475"/>
      <c r="C475"/>
      <c r="D475" s="1">
        <v>46213</v>
      </c>
      <c r="E475" s="1">
        <v>46213</v>
      </c>
      <c r="F475" s="17">
        <v>46224</v>
      </c>
      <c r="G475" t="s">
        <v>184</v>
      </c>
      <c r="H475" t="s">
        <v>27</v>
      </c>
      <c r="I475" t="s">
        <v>98</v>
      </c>
      <c r="J475" s="30">
        <v>-750</v>
      </c>
      <c r="K475" s="30">
        <v>0</v>
      </c>
      <c r="L475" s="33">
        <v>-750</v>
      </c>
      <c r="M475" t="s">
        <v>185</v>
      </c>
      <c r="N475" t="s">
        <v>200</v>
      </c>
      <c r="O475" s="34" t="s">
        <v>513</v>
      </c>
      <c r="P475" t="s">
        <v>213</v>
      </c>
      <c r="Q475" t="s">
        <v>23</v>
      </c>
      <c r="R475" t="s">
        <v>23</v>
      </c>
      <c r="S475" t="s">
        <v>25</v>
      </c>
      <c r="T475" t="str">
        <f>_xlfn.XLOOKUP(Tabela14[[#This Row],[Categoria]],CATEGORIAS!$C:$C,CATEGORIAS!$D:$D,"")</f>
        <v>2.1 Despesas Diretas</v>
      </c>
    </row>
    <row r="476" spans="2:20" x14ac:dyDescent="0.25">
      <c r="B476"/>
      <c r="C476"/>
      <c r="D476" s="1">
        <v>46213</v>
      </c>
      <c r="E476" s="1">
        <v>46213</v>
      </c>
      <c r="F476" s="17">
        <v>46224</v>
      </c>
      <c r="G476" t="s">
        <v>184</v>
      </c>
      <c r="H476" t="s">
        <v>27</v>
      </c>
      <c r="I476" t="s">
        <v>98</v>
      </c>
      <c r="J476" s="30">
        <v>-750</v>
      </c>
      <c r="K476" s="30">
        <v>0</v>
      </c>
      <c r="L476" s="33">
        <v>-750</v>
      </c>
      <c r="M476" t="s">
        <v>185</v>
      </c>
      <c r="N476" t="s">
        <v>200</v>
      </c>
      <c r="O476" s="34" t="s">
        <v>514</v>
      </c>
      <c r="P476" t="s">
        <v>213</v>
      </c>
      <c r="Q476" t="s">
        <v>23</v>
      </c>
      <c r="R476" t="s">
        <v>23</v>
      </c>
      <c r="S476" t="s">
        <v>25</v>
      </c>
      <c r="T476" t="str">
        <f>_xlfn.XLOOKUP(Tabela14[[#This Row],[Categoria]],CATEGORIAS!$C:$C,CATEGORIAS!$D:$D,"")</f>
        <v>2.1 Despesas Diretas</v>
      </c>
    </row>
    <row r="477" spans="2:20" x14ac:dyDescent="0.25">
      <c r="B477"/>
      <c r="C477"/>
      <c r="D477" s="1">
        <v>46206</v>
      </c>
      <c r="E477" s="1">
        <v>46206</v>
      </c>
      <c r="F477" s="17">
        <v>46224</v>
      </c>
      <c r="G477" t="s">
        <v>184</v>
      </c>
      <c r="H477" t="s">
        <v>27</v>
      </c>
      <c r="I477" t="s">
        <v>98</v>
      </c>
      <c r="J477" s="30">
        <v>-6100</v>
      </c>
      <c r="K477" s="30">
        <v>0</v>
      </c>
      <c r="L477" s="33">
        <v>-6100</v>
      </c>
      <c r="M477" t="s">
        <v>185</v>
      </c>
      <c r="N477" t="s">
        <v>200</v>
      </c>
      <c r="O477" s="34" t="s">
        <v>512</v>
      </c>
      <c r="P477" t="s">
        <v>187</v>
      </c>
      <c r="Q477" t="s">
        <v>23</v>
      </c>
      <c r="R477" t="s">
        <v>205</v>
      </c>
      <c r="S477" t="s">
        <v>25</v>
      </c>
      <c r="T477" t="str">
        <f>_xlfn.XLOOKUP(Tabela14[[#This Row],[Categoria]],CATEGORIAS!$C:$C,CATEGORIAS!$D:$D,"")</f>
        <v>2.1 Despesas Diretas</v>
      </c>
    </row>
    <row r="478" spans="2:20" x14ac:dyDescent="0.25">
      <c r="B478"/>
      <c r="C478"/>
      <c r="D478" s="1">
        <v>46213</v>
      </c>
      <c r="E478" s="1">
        <v>46213</v>
      </c>
      <c r="F478" s="17">
        <v>46224</v>
      </c>
      <c r="G478" t="s">
        <v>184</v>
      </c>
      <c r="H478" t="s">
        <v>27</v>
      </c>
      <c r="I478" t="s">
        <v>98</v>
      </c>
      <c r="J478" s="30">
        <v>-1100</v>
      </c>
      <c r="K478" s="30">
        <v>0</v>
      </c>
      <c r="L478" s="33">
        <v>-1100</v>
      </c>
      <c r="M478" t="s">
        <v>185</v>
      </c>
      <c r="N478" t="s">
        <v>200</v>
      </c>
      <c r="O478" s="34" t="s">
        <v>510</v>
      </c>
      <c r="P478" t="s">
        <v>213</v>
      </c>
      <c r="Q478" t="s">
        <v>23</v>
      </c>
      <c r="R478" t="s">
        <v>23</v>
      </c>
      <c r="S478" t="s">
        <v>25</v>
      </c>
      <c r="T478" t="str">
        <f>_xlfn.XLOOKUP(Tabela14[[#This Row],[Categoria]],CATEGORIAS!$C:$C,CATEGORIAS!$D:$D,"")</f>
        <v>2.1 Despesas Diretas</v>
      </c>
    </row>
    <row r="479" spans="2:20" x14ac:dyDescent="0.25">
      <c r="B479"/>
      <c r="C479"/>
      <c r="D479" s="1">
        <v>46244</v>
      </c>
      <c r="E479" s="1">
        <v>46244</v>
      </c>
      <c r="F479" s="17">
        <v>46244</v>
      </c>
      <c r="G479" t="s">
        <v>277</v>
      </c>
      <c r="H479" t="s">
        <v>27</v>
      </c>
      <c r="I479" t="s">
        <v>142</v>
      </c>
      <c r="J479" s="30">
        <v>-2000</v>
      </c>
      <c r="K479" s="30">
        <v>0</v>
      </c>
      <c r="L479" s="33">
        <v>-2000</v>
      </c>
      <c r="M479" t="s">
        <v>185</v>
      </c>
      <c r="N479" t="s">
        <v>200</v>
      </c>
      <c r="O479" s="34" t="s">
        <v>504</v>
      </c>
      <c r="P479" t="s">
        <v>213</v>
      </c>
      <c r="Q479" t="s">
        <v>23</v>
      </c>
      <c r="R479" t="s">
        <v>23</v>
      </c>
      <c r="S479" t="s">
        <v>25</v>
      </c>
      <c r="T479" t="str">
        <f>_xlfn.XLOOKUP(Tabela14[[#This Row],[Categoria]],CATEGORIAS!$C:$C,CATEGORIAS!$D:$D,"")</f>
        <v>2.4 Despesas Administrativas</v>
      </c>
    </row>
    <row r="480" spans="2:20" x14ac:dyDescent="0.25">
      <c r="B480"/>
      <c r="C480"/>
      <c r="D480" s="1">
        <v>46099</v>
      </c>
      <c r="E480" s="1">
        <v>46099</v>
      </c>
      <c r="F480" s="17">
        <v>46188</v>
      </c>
      <c r="G480" t="s">
        <v>184</v>
      </c>
      <c r="H480" t="s">
        <v>19</v>
      </c>
      <c r="I480" t="s">
        <v>80</v>
      </c>
      <c r="J480" s="30">
        <v>64000</v>
      </c>
      <c r="K480" s="30">
        <v>0</v>
      </c>
      <c r="L480" s="33">
        <v>64000</v>
      </c>
      <c r="M480" t="s">
        <v>185</v>
      </c>
      <c r="N480" t="s">
        <v>215</v>
      </c>
      <c r="O480" s="34" t="s">
        <v>324</v>
      </c>
      <c r="P480" t="s">
        <v>223</v>
      </c>
      <c r="Q480" t="s">
        <v>23</v>
      </c>
      <c r="R480" t="s">
        <v>23</v>
      </c>
      <c r="S480" t="s">
        <v>25</v>
      </c>
      <c r="T480" t="str">
        <f>_xlfn.XLOOKUP(Tabela14[[#This Row],[Categoria]],CATEGORIAS!$C:$C,CATEGORIAS!$D:$D,"")</f>
        <v>1.4 Outras Entradas</v>
      </c>
    </row>
    <row r="481" spans="2:20" x14ac:dyDescent="0.25">
      <c r="B481"/>
      <c r="C481"/>
      <c r="D481" s="1">
        <v>46108</v>
      </c>
      <c r="E481" s="1">
        <v>46108</v>
      </c>
      <c r="F481" s="17">
        <v>46174</v>
      </c>
      <c r="G481" t="s">
        <v>184</v>
      </c>
      <c r="H481" t="s">
        <v>27</v>
      </c>
      <c r="I481" t="s">
        <v>142</v>
      </c>
      <c r="J481" s="30">
        <v>-16000</v>
      </c>
      <c r="K481" s="30">
        <v>0</v>
      </c>
      <c r="L481" s="33">
        <v>-16000</v>
      </c>
      <c r="M481" t="s">
        <v>185</v>
      </c>
      <c r="N481" t="s">
        <v>215</v>
      </c>
      <c r="O481" s="34" t="s">
        <v>325</v>
      </c>
      <c r="P481" t="s">
        <v>187</v>
      </c>
      <c r="Q481" t="s">
        <v>23</v>
      </c>
      <c r="R481" t="s">
        <v>221</v>
      </c>
      <c r="S481" t="s">
        <v>25</v>
      </c>
      <c r="T481" t="str">
        <f>_xlfn.XLOOKUP(Tabela14[[#This Row],[Categoria]],CATEGORIAS!$C:$C,CATEGORIAS!$D:$D,"")</f>
        <v>2.4 Despesas Administrativas</v>
      </c>
    </row>
    <row r="482" spans="2:20" x14ac:dyDescent="0.25">
      <c r="B482"/>
      <c r="C482"/>
      <c r="D482" s="1">
        <v>46136</v>
      </c>
      <c r="E482" s="1">
        <v>46136</v>
      </c>
      <c r="F482" s="17">
        <v>46140</v>
      </c>
      <c r="G482" t="s">
        <v>394</v>
      </c>
      <c r="H482" t="s">
        <v>27</v>
      </c>
      <c r="I482" t="s">
        <v>100</v>
      </c>
      <c r="J482" s="30">
        <v>-241333.33</v>
      </c>
      <c r="K482" s="30">
        <v>0</v>
      </c>
      <c r="L482" s="33">
        <v>-241333.33</v>
      </c>
      <c r="M482" t="s">
        <v>238</v>
      </c>
      <c r="N482" t="s">
        <v>195</v>
      </c>
      <c r="O482" s="34" t="s">
        <v>515</v>
      </c>
      <c r="P482" t="s">
        <v>187</v>
      </c>
      <c r="Q482" t="s">
        <v>23</v>
      </c>
      <c r="R482" t="s">
        <v>219</v>
      </c>
      <c r="S482" t="s">
        <v>25</v>
      </c>
      <c r="T482" t="str">
        <f>_xlfn.XLOOKUP(Tabela14[[#This Row],[Categoria]],CATEGORIAS!$C:$C,CATEGORIAS!$D:$D,"")</f>
        <v>2.1 Despesas Diretas</v>
      </c>
    </row>
    <row r="483" spans="2:20" x14ac:dyDescent="0.25">
      <c r="B483"/>
      <c r="C483"/>
      <c r="D483" s="1">
        <v>46166</v>
      </c>
      <c r="E483" s="1">
        <v>46166</v>
      </c>
      <c r="F483" s="17">
        <v>46170</v>
      </c>
      <c r="G483" t="s">
        <v>394</v>
      </c>
      <c r="H483" t="s">
        <v>27</v>
      </c>
      <c r="I483" t="s">
        <v>100</v>
      </c>
      <c r="J483" s="30">
        <v>-241333.33</v>
      </c>
      <c r="K483" s="30">
        <v>0</v>
      </c>
      <c r="L483" s="33">
        <v>-241333.33</v>
      </c>
      <c r="M483" t="s">
        <v>238</v>
      </c>
      <c r="N483" t="s">
        <v>195</v>
      </c>
      <c r="O483" s="34" t="s">
        <v>515</v>
      </c>
      <c r="P483" t="s">
        <v>213</v>
      </c>
      <c r="Q483" t="s">
        <v>23</v>
      </c>
      <c r="R483" t="s">
        <v>219</v>
      </c>
      <c r="S483" t="s">
        <v>25</v>
      </c>
      <c r="T483" t="str">
        <f>_xlfn.XLOOKUP(Tabela14[[#This Row],[Categoria]],CATEGORIAS!$C:$C,CATEGORIAS!$D:$D,"")</f>
        <v>2.1 Despesas Diretas</v>
      </c>
    </row>
    <row r="484" spans="2:20" x14ac:dyDescent="0.25">
      <c r="B484"/>
      <c r="C484"/>
      <c r="D484" s="1">
        <v>46197</v>
      </c>
      <c r="E484" s="1">
        <v>46197</v>
      </c>
      <c r="F484" s="17">
        <v>46201</v>
      </c>
      <c r="G484" t="s">
        <v>394</v>
      </c>
      <c r="H484" t="s">
        <v>27</v>
      </c>
      <c r="I484" t="s">
        <v>100</v>
      </c>
      <c r="J484" s="30">
        <v>-241333.33</v>
      </c>
      <c r="K484" s="30">
        <v>0</v>
      </c>
      <c r="L484" s="33">
        <v>-241333.33</v>
      </c>
      <c r="M484" t="s">
        <v>238</v>
      </c>
      <c r="N484" t="s">
        <v>195</v>
      </c>
      <c r="O484" s="34" t="s">
        <v>515</v>
      </c>
      <c r="P484" t="s">
        <v>213</v>
      </c>
      <c r="Q484" t="s">
        <v>23</v>
      </c>
      <c r="R484" t="s">
        <v>219</v>
      </c>
      <c r="S484" t="s">
        <v>25</v>
      </c>
      <c r="T484" t="str">
        <f>_xlfn.XLOOKUP(Tabela14[[#This Row],[Categoria]],CATEGORIAS!$C:$C,CATEGORIAS!$D:$D,"")</f>
        <v>2.1 Despesas Diretas</v>
      </c>
    </row>
    <row r="485" spans="2:20" x14ac:dyDescent="0.25">
      <c r="B485"/>
      <c r="C485"/>
      <c r="D485" s="1">
        <v>46136</v>
      </c>
      <c r="E485" s="1">
        <v>46136</v>
      </c>
      <c r="F485" s="17">
        <v>46140</v>
      </c>
      <c r="G485" t="s">
        <v>394</v>
      </c>
      <c r="H485" t="s">
        <v>27</v>
      </c>
      <c r="I485" t="s">
        <v>100</v>
      </c>
      <c r="J485" s="31">
        <v>-38381.9</v>
      </c>
      <c r="K485" s="30">
        <v>0</v>
      </c>
      <c r="L485" s="33">
        <v>-122822.08</v>
      </c>
      <c r="M485" t="s">
        <v>185</v>
      </c>
      <c r="N485" t="s">
        <v>195</v>
      </c>
      <c r="O485" s="34" t="s">
        <v>516</v>
      </c>
      <c r="P485" t="s">
        <v>187</v>
      </c>
      <c r="Q485" t="s">
        <v>23</v>
      </c>
      <c r="R485" t="s">
        <v>23</v>
      </c>
      <c r="S485" t="s">
        <v>25</v>
      </c>
      <c r="T485" t="str">
        <f>_xlfn.XLOOKUP(Tabela14[[#This Row],[Categoria]],CATEGORIAS!$C:$C,CATEGORIAS!$D:$D,"")</f>
        <v>2.1 Despesas Diretas</v>
      </c>
    </row>
    <row r="486" spans="2:20" x14ac:dyDescent="0.25">
      <c r="B486"/>
      <c r="C486"/>
      <c r="D486" s="1">
        <v>46136</v>
      </c>
      <c r="E486" s="1">
        <v>46136</v>
      </c>
      <c r="F486" s="17">
        <v>46140</v>
      </c>
      <c r="G486" t="s">
        <v>394</v>
      </c>
      <c r="H486" t="s">
        <v>27</v>
      </c>
      <c r="I486" t="s">
        <v>100</v>
      </c>
      <c r="J486" s="31">
        <v>-62200.85</v>
      </c>
      <c r="K486" s="31">
        <v>0</v>
      </c>
      <c r="L486" s="33">
        <v>-62200.85</v>
      </c>
      <c r="M486" t="s">
        <v>185</v>
      </c>
      <c r="N486" t="s">
        <v>195</v>
      </c>
      <c r="O486" s="34" t="s">
        <v>517</v>
      </c>
      <c r="P486" t="s">
        <v>187</v>
      </c>
      <c r="Q486" t="s">
        <v>23</v>
      </c>
      <c r="R486" t="s">
        <v>23</v>
      </c>
      <c r="S486" t="s">
        <v>25</v>
      </c>
      <c r="T486" t="str">
        <f>_xlfn.XLOOKUP(Tabela14[[#This Row],[Categoria]],CATEGORIAS!$C:$C,CATEGORIAS!$D:$D,"")</f>
        <v>2.1 Despesas Diretas</v>
      </c>
    </row>
    <row r="487" spans="2:20" x14ac:dyDescent="0.25">
      <c r="B487"/>
      <c r="C487"/>
      <c r="D487" s="1">
        <v>46136</v>
      </c>
      <c r="E487" s="1">
        <v>46136</v>
      </c>
      <c r="F487" s="17">
        <v>46154</v>
      </c>
      <c r="G487" t="s">
        <v>396</v>
      </c>
      <c r="H487" t="s">
        <v>27</v>
      </c>
      <c r="I487" t="s">
        <v>91</v>
      </c>
      <c r="J487" s="30">
        <v>-127200</v>
      </c>
      <c r="K487" s="30">
        <v>0</v>
      </c>
      <c r="L487" s="33">
        <v>-127200</v>
      </c>
      <c r="M487" t="s">
        <v>185</v>
      </c>
      <c r="N487" t="s">
        <v>195</v>
      </c>
      <c r="O487" s="34" t="s">
        <v>388</v>
      </c>
      <c r="P487" t="s">
        <v>187</v>
      </c>
      <c r="Q487" t="s">
        <v>23</v>
      </c>
      <c r="R487" t="s">
        <v>23</v>
      </c>
      <c r="S487" t="s">
        <v>25</v>
      </c>
      <c r="T487" t="str">
        <f>_xlfn.XLOOKUP(Tabela14[[#This Row],[Categoria]],CATEGORIAS!$C:$C,CATEGORIAS!$D:$D,"")</f>
        <v>2.1 Despesas Diretas</v>
      </c>
    </row>
    <row r="488" spans="2:20" x14ac:dyDescent="0.25">
      <c r="B488"/>
      <c r="C488"/>
      <c r="D488" s="1">
        <v>46150</v>
      </c>
      <c r="E488" s="1">
        <v>46150</v>
      </c>
      <c r="F488" s="17">
        <v>46154</v>
      </c>
      <c r="G488" t="s">
        <v>394</v>
      </c>
      <c r="H488" t="s">
        <v>27</v>
      </c>
      <c r="I488" t="s">
        <v>100</v>
      </c>
      <c r="J488" s="30">
        <v>-46058.28</v>
      </c>
      <c r="K488" s="30">
        <v>0</v>
      </c>
      <c r="L488" s="33">
        <v>-122822.08</v>
      </c>
      <c r="M488" t="s">
        <v>185</v>
      </c>
      <c r="N488" t="s">
        <v>195</v>
      </c>
      <c r="O488" s="34" t="s">
        <v>516</v>
      </c>
      <c r="P488" t="s">
        <v>187</v>
      </c>
      <c r="Q488" t="s">
        <v>23</v>
      </c>
      <c r="R488" t="s">
        <v>23</v>
      </c>
      <c r="S488" t="s">
        <v>25</v>
      </c>
      <c r="T488" t="str">
        <f>_xlfn.XLOOKUP(Tabela14[[#This Row],[Categoria]],CATEGORIAS!$C:$C,CATEGORIAS!$D:$D,"")</f>
        <v>2.1 Despesas Diretas</v>
      </c>
    </row>
    <row r="489" spans="2:20" x14ac:dyDescent="0.25">
      <c r="B489"/>
      <c r="C489"/>
      <c r="D489" s="1">
        <v>46150</v>
      </c>
      <c r="E489" s="1">
        <v>46150</v>
      </c>
      <c r="F489" s="17">
        <v>46154</v>
      </c>
      <c r="G489" t="s">
        <v>394</v>
      </c>
      <c r="H489" t="s">
        <v>27</v>
      </c>
      <c r="I489" t="s">
        <v>100</v>
      </c>
      <c r="J489" s="31">
        <v>-31100.43</v>
      </c>
      <c r="K489" s="31">
        <v>0</v>
      </c>
      <c r="L489" s="33">
        <v>-31100.43</v>
      </c>
      <c r="M489" t="s">
        <v>185</v>
      </c>
      <c r="N489" t="s">
        <v>195</v>
      </c>
      <c r="O489" s="34" t="s">
        <v>517</v>
      </c>
      <c r="P489" t="s">
        <v>187</v>
      </c>
      <c r="Q489" t="s">
        <v>23</v>
      </c>
      <c r="R489" t="s">
        <v>23</v>
      </c>
      <c r="S489" t="s">
        <v>25</v>
      </c>
      <c r="T489" t="str">
        <f>_xlfn.XLOOKUP(Tabela14[[#This Row],[Categoria]],CATEGORIAS!$C:$C,CATEGORIAS!$D:$D,"")</f>
        <v>2.1 Despesas Diretas</v>
      </c>
    </row>
    <row r="490" spans="2:20" x14ac:dyDescent="0.25">
      <c r="B490"/>
      <c r="C490"/>
      <c r="D490" s="1">
        <v>46150</v>
      </c>
      <c r="E490" s="1">
        <v>46150</v>
      </c>
      <c r="F490" s="17">
        <v>46118</v>
      </c>
      <c r="G490" t="s">
        <v>396</v>
      </c>
      <c r="H490" t="s">
        <v>27</v>
      </c>
      <c r="I490" t="s">
        <v>38</v>
      </c>
      <c r="K490" s="30">
        <v>0</v>
      </c>
      <c r="L490" s="33">
        <v>-7484.4</v>
      </c>
      <c r="M490" t="s">
        <v>185</v>
      </c>
      <c r="N490" t="s">
        <v>195</v>
      </c>
      <c r="O490" s="34" t="s">
        <v>518</v>
      </c>
      <c r="P490" t="s">
        <v>187</v>
      </c>
      <c r="Q490" t="s">
        <v>23</v>
      </c>
      <c r="R490" t="s">
        <v>23</v>
      </c>
      <c r="S490" t="s">
        <v>25</v>
      </c>
      <c r="T490" t="str">
        <f>_xlfn.XLOOKUP(Tabela14[[#This Row],[Categoria]],CATEGORIAS!$C:$C,CATEGORIAS!$D:$D,"")</f>
        <v>2.4 Despesas Administrativas</v>
      </c>
    </row>
    <row r="491" spans="2:20" x14ac:dyDescent="0.25">
      <c r="B491"/>
      <c r="C491"/>
      <c r="D491" s="1">
        <v>46150</v>
      </c>
      <c r="E491" s="1">
        <v>46150</v>
      </c>
      <c r="F491" s="17">
        <v>46168</v>
      </c>
      <c r="G491" t="s">
        <v>396</v>
      </c>
      <c r="H491" t="s">
        <v>27</v>
      </c>
      <c r="I491" t="s">
        <v>91</v>
      </c>
      <c r="J491" s="30">
        <v>-53000</v>
      </c>
      <c r="K491" s="30">
        <v>0</v>
      </c>
      <c r="L491" s="33">
        <v>-53000</v>
      </c>
      <c r="M491" t="s">
        <v>185</v>
      </c>
      <c r="N491" t="s">
        <v>195</v>
      </c>
      <c r="O491" s="34" t="s">
        <v>388</v>
      </c>
      <c r="P491" t="s">
        <v>187</v>
      </c>
      <c r="Q491" t="s">
        <v>23</v>
      </c>
      <c r="R491" t="s">
        <v>23</v>
      </c>
      <c r="S491" t="s">
        <v>25</v>
      </c>
      <c r="T491" t="str">
        <f>_xlfn.XLOOKUP(Tabela14[[#This Row],[Categoria]],CATEGORIAS!$C:$C,CATEGORIAS!$D:$D,"")</f>
        <v>2.1 Despesas Diretas</v>
      </c>
    </row>
    <row r="492" spans="2:20" x14ac:dyDescent="0.25">
      <c r="B492"/>
      <c r="C492"/>
      <c r="F492" s="17">
        <v>46118</v>
      </c>
      <c r="G492" t="s">
        <v>395</v>
      </c>
      <c r="H492" t="s">
        <v>27</v>
      </c>
      <c r="I492" t="s">
        <v>38</v>
      </c>
      <c r="L492" s="27">
        <v>-19050</v>
      </c>
      <c r="M492" t="s">
        <v>185</v>
      </c>
      <c r="N492" t="s">
        <v>195</v>
      </c>
      <c r="O492" s="34" t="s">
        <v>519</v>
      </c>
      <c r="P492" t="s">
        <v>187</v>
      </c>
      <c r="Q492" t="s">
        <v>23</v>
      </c>
      <c r="R492" t="s">
        <v>23</v>
      </c>
      <c r="S492" t="s">
        <v>25</v>
      </c>
      <c r="T492" t="str">
        <f>_xlfn.XLOOKUP(Tabela14[[#This Row],[Categoria]],CATEGORIAS!$C:$C,CATEGORIAS!$D:$D,"")</f>
        <v>2.4 Despesas Administrativas</v>
      </c>
    </row>
    <row r="493" spans="2:20" x14ac:dyDescent="0.25">
      <c r="B493"/>
      <c r="C493"/>
      <c r="D493" s="1">
        <v>46164</v>
      </c>
      <c r="E493" s="1">
        <v>46164</v>
      </c>
      <c r="F493" s="17">
        <v>46168</v>
      </c>
      <c r="G493" t="s">
        <v>394</v>
      </c>
      <c r="H493" t="s">
        <v>27</v>
      </c>
      <c r="I493" t="s">
        <v>100</v>
      </c>
      <c r="J493" s="30">
        <v>-38381.9</v>
      </c>
      <c r="K493" s="30">
        <v>0</v>
      </c>
      <c r="L493" s="33">
        <v>-122822.08</v>
      </c>
      <c r="M493" t="s">
        <v>185</v>
      </c>
      <c r="N493" t="s">
        <v>195</v>
      </c>
      <c r="O493" s="34" t="s">
        <v>516</v>
      </c>
      <c r="P493" t="s">
        <v>187</v>
      </c>
      <c r="Q493" t="s">
        <v>23</v>
      </c>
      <c r="R493" t="s">
        <v>23</v>
      </c>
      <c r="S493" t="s">
        <v>25</v>
      </c>
      <c r="T493" t="str">
        <f>_xlfn.XLOOKUP(Tabela14[[#This Row],[Categoria]],CATEGORIAS!$C:$C,CATEGORIAS!$D:$D,"")</f>
        <v>2.1 Despesas Diretas</v>
      </c>
    </row>
    <row r="494" spans="2:20" x14ac:dyDescent="0.25">
      <c r="B494"/>
      <c r="C494"/>
      <c r="D494" s="1">
        <v>46164</v>
      </c>
      <c r="E494" s="1">
        <v>46164</v>
      </c>
      <c r="F494" s="17">
        <v>46168</v>
      </c>
      <c r="G494" t="s">
        <v>394</v>
      </c>
      <c r="H494" t="s">
        <v>27</v>
      </c>
      <c r="I494" t="s">
        <v>100</v>
      </c>
      <c r="J494" s="30">
        <v>-130621.8</v>
      </c>
      <c r="K494" s="30">
        <v>0</v>
      </c>
      <c r="L494" s="33">
        <v>-130621.8</v>
      </c>
      <c r="M494" t="s">
        <v>185</v>
      </c>
      <c r="N494" t="s">
        <v>195</v>
      </c>
      <c r="O494" s="34" t="s">
        <v>517</v>
      </c>
      <c r="P494" t="s">
        <v>187</v>
      </c>
      <c r="Q494" t="s">
        <v>23</v>
      </c>
      <c r="R494" t="s">
        <v>23</v>
      </c>
      <c r="S494" t="s">
        <v>25</v>
      </c>
      <c r="T494" t="str">
        <f>_xlfn.XLOOKUP(Tabela14[[#This Row],[Categoria]],CATEGORIAS!$C:$C,CATEGORIAS!$D:$D,"")</f>
        <v>2.1 Despesas Diretas</v>
      </c>
    </row>
    <row r="495" spans="2:20" x14ac:dyDescent="0.25">
      <c r="B495"/>
      <c r="C495"/>
      <c r="D495" s="1">
        <v>46164</v>
      </c>
      <c r="E495" s="1">
        <v>46164</v>
      </c>
      <c r="F495" s="17">
        <v>46153</v>
      </c>
      <c r="G495" t="s">
        <v>396</v>
      </c>
      <c r="H495" t="s">
        <v>27</v>
      </c>
      <c r="I495" t="s">
        <v>38</v>
      </c>
      <c r="K495" s="30">
        <v>0</v>
      </c>
      <c r="L495" s="33">
        <v>-2245.3200000000002</v>
      </c>
      <c r="M495" t="s">
        <v>185</v>
      </c>
      <c r="N495" t="s">
        <v>195</v>
      </c>
      <c r="O495" s="34" t="s">
        <v>518</v>
      </c>
      <c r="P495" t="s">
        <v>187</v>
      </c>
      <c r="Q495" t="s">
        <v>23</v>
      </c>
      <c r="R495" t="s">
        <v>23</v>
      </c>
      <c r="S495" t="s">
        <v>25</v>
      </c>
      <c r="T495" t="str">
        <f>_xlfn.XLOOKUP(Tabela14[[#This Row],[Categoria]],CATEGORIAS!$C:$C,CATEGORIAS!$D:$D,"")</f>
        <v>2.4 Despesas Administrativas</v>
      </c>
    </row>
    <row r="496" spans="2:20" x14ac:dyDescent="0.25">
      <c r="B496"/>
      <c r="C496"/>
      <c r="D496" s="1">
        <v>46164</v>
      </c>
      <c r="E496" s="1">
        <v>46164</v>
      </c>
      <c r="F496" s="17">
        <v>46182</v>
      </c>
      <c r="G496" t="s">
        <v>396</v>
      </c>
      <c r="H496" t="s">
        <v>27</v>
      </c>
      <c r="I496" t="s">
        <v>91</v>
      </c>
      <c r="J496" s="30">
        <v>-53000</v>
      </c>
      <c r="K496" s="30">
        <v>0</v>
      </c>
      <c r="L496" s="33">
        <v>-53000</v>
      </c>
      <c r="M496" t="s">
        <v>185</v>
      </c>
      <c r="N496" t="s">
        <v>195</v>
      </c>
      <c r="O496" s="34" t="s">
        <v>388</v>
      </c>
      <c r="P496" t="s">
        <v>187</v>
      </c>
      <c r="Q496" t="s">
        <v>23</v>
      </c>
      <c r="R496" t="s">
        <v>23</v>
      </c>
      <c r="S496" t="s">
        <v>25</v>
      </c>
      <c r="T496" t="str">
        <f>_xlfn.XLOOKUP(Tabela14[[#This Row],[Categoria]],CATEGORIAS!$C:$C,CATEGORIAS!$D:$D,"")</f>
        <v>2.1 Despesas Diretas</v>
      </c>
    </row>
    <row r="497" spans="2:20" x14ac:dyDescent="0.25">
      <c r="B497"/>
      <c r="C497"/>
      <c r="F497" s="17">
        <v>46140</v>
      </c>
      <c r="G497" t="s">
        <v>395</v>
      </c>
      <c r="H497" t="s">
        <v>27</v>
      </c>
      <c r="I497" t="s">
        <v>38</v>
      </c>
      <c r="L497" s="27">
        <v>-5750</v>
      </c>
      <c r="M497" t="s">
        <v>185</v>
      </c>
      <c r="N497" t="s">
        <v>195</v>
      </c>
      <c r="O497" s="34" t="s">
        <v>519</v>
      </c>
      <c r="P497" t="s">
        <v>187</v>
      </c>
      <c r="Q497" t="s">
        <v>23</v>
      </c>
      <c r="R497" t="s">
        <v>23</v>
      </c>
      <c r="S497" t="s">
        <v>25</v>
      </c>
      <c r="T497" t="str">
        <f>_xlfn.XLOOKUP(Tabela14[[#This Row],[Categoria]],CATEGORIAS!$C:$C,CATEGORIAS!$D:$D,"")</f>
        <v>2.4 Despesas Administrativas</v>
      </c>
    </row>
    <row r="498" spans="2:20" x14ac:dyDescent="0.25">
      <c r="B498"/>
      <c r="C498"/>
      <c r="F498" s="17">
        <v>46154</v>
      </c>
      <c r="G498" t="s">
        <v>395</v>
      </c>
      <c r="H498" t="s">
        <v>27</v>
      </c>
      <c r="I498" t="s">
        <v>38</v>
      </c>
      <c r="L498" s="27">
        <v>-5750</v>
      </c>
      <c r="M498" t="s">
        <v>185</v>
      </c>
      <c r="N498" t="s">
        <v>195</v>
      </c>
      <c r="O498" s="34" t="s">
        <v>519</v>
      </c>
      <c r="P498" t="s">
        <v>187</v>
      </c>
      <c r="Q498" t="s">
        <v>23</v>
      </c>
      <c r="R498" t="s">
        <v>23</v>
      </c>
      <c r="S498" t="s">
        <v>25</v>
      </c>
      <c r="T498" t="str">
        <f>_xlfn.XLOOKUP(Tabela14[[#This Row],[Categoria]],CATEGORIAS!$C:$C,CATEGORIAS!$D:$D,"")</f>
        <v>2.4 Despesas Administrativas</v>
      </c>
    </row>
    <row r="499" spans="2:20" x14ac:dyDescent="0.25">
      <c r="B499"/>
      <c r="C499"/>
      <c r="D499"/>
      <c r="E499"/>
      <c r="F499" s="17">
        <v>46140</v>
      </c>
      <c r="G499" t="s">
        <v>395</v>
      </c>
      <c r="H499" t="s">
        <v>27</v>
      </c>
      <c r="I499" t="s">
        <v>349</v>
      </c>
      <c r="L499" s="27">
        <v>-11535</v>
      </c>
      <c r="M499" t="s">
        <v>185</v>
      </c>
      <c r="N499" t="s">
        <v>195</v>
      </c>
      <c r="O499" s="34" t="s">
        <v>519</v>
      </c>
      <c r="P499" t="s">
        <v>187</v>
      </c>
      <c r="Q499" t="s">
        <v>23</v>
      </c>
      <c r="R499" t="s">
        <v>23</v>
      </c>
      <c r="S499" t="s">
        <v>25</v>
      </c>
      <c r="T499" t="str">
        <f>_xlfn.XLOOKUP(Tabela14[[#This Row],[Categoria]],CATEGORIAS!$C:$C,CATEGORIAS!$D:$D,"")</f>
        <v/>
      </c>
    </row>
    <row r="500" spans="2:20" x14ac:dyDescent="0.25">
      <c r="B500"/>
      <c r="C500"/>
      <c r="D500"/>
      <c r="E500"/>
      <c r="F500" s="17">
        <v>46154</v>
      </c>
      <c r="G500" t="s">
        <v>395</v>
      </c>
      <c r="H500" t="s">
        <v>27</v>
      </c>
      <c r="I500" t="s">
        <v>349</v>
      </c>
      <c r="L500" s="27">
        <v>-13457.5</v>
      </c>
      <c r="M500" t="s">
        <v>185</v>
      </c>
      <c r="N500" t="s">
        <v>195</v>
      </c>
      <c r="O500" s="34" t="s">
        <v>519</v>
      </c>
      <c r="P500" t="s">
        <v>187</v>
      </c>
      <c r="Q500" t="s">
        <v>23</v>
      </c>
      <c r="R500" t="s">
        <v>23</v>
      </c>
      <c r="S500" t="s">
        <v>25</v>
      </c>
      <c r="T500" t="str">
        <f>_xlfn.XLOOKUP(Tabela14[[#This Row],[Categoria]],CATEGORIAS!$C:$C,CATEGORIAS!$D:$D,"")</f>
        <v/>
      </c>
    </row>
    <row r="501" spans="2:20" x14ac:dyDescent="0.25">
      <c r="B501"/>
      <c r="C501"/>
      <c r="D501"/>
      <c r="E501"/>
      <c r="F501" s="17">
        <v>46169</v>
      </c>
      <c r="G501" t="s">
        <v>395</v>
      </c>
      <c r="H501" t="s">
        <v>27</v>
      </c>
      <c r="I501" t="s">
        <v>349</v>
      </c>
      <c r="L501" s="27">
        <v>-13457.5</v>
      </c>
      <c r="M501" t="s">
        <v>185</v>
      </c>
      <c r="N501" t="s">
        <v>195</v>
      </c>
      <c r="O501" s="34" t="s">
        <v>519</v>
      </c>
      <c r="P501" t="s">
        <v>187</v>
      </c>
      <c r="Q501" t="s">
        <v>23</v>
      </c>
      <c r="R501" t="s">
        <v>23</v>
      </c>
      <c r="S501" t="s">
        <v>25</v>
      </c>
      <c r="T501" t="str">
        <f>_xlfn.XLOOKUP(Tabela14[[#This Row],[Categoria]],CATEGORIAS!$C:$C,CATEGORIAS!$D:$D,"")</f>
        <v/>
      </c>
    </row>
    <row r="502" spans="2:20" x14ac:dyDescent="0.25">
      <c r="B502"/>
      <c r="C502"/>
      <c r="D502"/>
      <c r="E502"/>
      <c r="F502" s="17">
        <v>46140</v>
      </c>
      <c r="G502" t="s">
        <v>395</v>
      </c>
      <c r="H502" t="s">
        <v>27</v>
      </c>
      <c r="I502" t="s">
        <v>349</v>
      </c>
      <c r="L502" s="27">
        <v>-11430</v>
      </c>
      <c r="M502" t="s">
        <v>185</v>
      </c>
      <c r="N502" t="s">
        <v>195</v>
      </c>
      <c r="O502" s="34" t="s">
        <v>519</v>
      </c>
      <c r="P502" t="s">
        <v>187</v>
      </c>
      <c r="Q502" t="s">
        <v>23</v>
      </c>
      <c r="R502" t="s">
        <v>23</v>
      </c>
      <c r="S502" t="s">
        <v>25</v>
      </c>
      <c r="T502" t="str">
        <f>_xlfn.XLOOKUP(Tabela14[[#This Row],[Categoria]],CATEGORIAS!$C:$C,CATEGORIAS!$D:$D,"")</f>
        <v/>
      </c>
    </row>
    <row r="503" spans="2:20" x14ac:dyDescent="0.25">
      <c r="B503"/>
      <c r="C503"/>
      <c r="D503" s="1">
        <v>46150</v>
      </c>
      <c r="E503" s="1">
        <v>46150</v>
      </c>
      <c r="F503" s="17">
        <v>46154</v>
      </c>
      <c r="G503" t="s">
        <v>395</v>
      </c>
      <c r="H503" t="s">
        <v>27</v>
      </c>
      <c r="I503" t="s">
        <v>38</v>
      </c>
      <c r="L503" s="27">
        <v>-13335</v>
      </c>
      <c r="M503" t="s">
        <v>185</v>
      </c>
      <c r="N503" t="s">
        <v>195</v>
      </c>
      <c r="O503" s="34" t="s">
        <v>519</v>
      </c>
      <c r="P503" t="s">
        <v>187</v>
      </c>
      <c r="Q503" t="s">
        <v>23</v>
      </c>
      <c r="R503" t="s">
        <v>23</v>
      </c>
      <c r="S503" t="s">
        <v>25</v>
      </c>
      <c r="T503" t="str">
        <f>_xlfn.XLOOKUP(Tabela14[[#This Row],[Categoria]],CATEGORIAS!$C:$C,CATEGORIAS!$D:$D,"")</f>
        <v>2.4 Despesas Administrativas</v>
      </c>
    </row>
    <row r="504" spans="2:20" x14ac:dyDescent="0.25">
      <c r="B504"/>
      <c r="C504"/>
      <c r="F504" s="17">
        <v>46168</v>
      </c>
      <c r="G504" t="s">
        <v>395</v>
      </c>
      <c r="H504" t="s">
        <v>27</v>
      </c>
      <c r="I504" t="s">
        <v>38</v>
      </c>
      <c r="L504" s="27">
        <v>-13335</v>
      </c>
      <c r="M504" t="s">
        <v>185</v>
      </c>
      <c r="N504" t="s">
        <v>195</v>
      </c>
      <c r="O504" s="34" t="s">
        <v>519</v>
      </c>
      <c r="P504" t="s">
        <v>187</v>
      </c>
      <c r="Q504" t="s">
        <v>23</v>
      </c>
      <c r="R504" t="s">
        <v>23</v>
      </c>
      <c r="S504" t="s">
        <v>25</v>
      </c>
      <c r="T504" t="str">
        <f>_xlfn.XLOOKUP(Tabela14[[#This Row],[Categoria]],CATEGORIAS!$C:$C,CATEGORIAS!$D:$D,"")</f>
        <v>2.4 Despesas Administrativas</v>
      </c>
    </row>
    <row r="505" spans="2:20" x14ac:dyDescent="0.25">
      <c r="B505"/>
      <c r="C505"/>
      <c r="F505" s="17">
        <v>46140</v>
      </c>
      <c r="G505" t="s">
        <v>395</v>
      </c>
      <c r="H505" t="s">
        <v>27</v>
      </c>
      <c r="I505" t="s">
        <v>38</v>
      </c>
      <c r="L505" s="27">
        <v>-10350</v>
      </c>
      <c r="M505" t="s">
        <v>185</v>
      </c>
      <c r="N505" t="s">
        <v>195</v>
      </c>
      <c r="O505" s="34" t="s">
        <v>519</v>
      </c>
      <c r="P505" t="s">
        <v>187</v>
      </c>
      <c r="Q505" t="s">
        <v>23</v>
      </c>
      <c r="R505" t="s">
        <v>23</v>
      </c>
      <c r="S505" t="s">
        <v>25</v>
      </c>
      <c r="T505" t="str">
        <f>_xlfn.XLOOKUP(Tabela14[[#This Row],[Categoria]],CATEGORIAS!$C:$C,CATEGORIAS!$D:$D,"")</f>
        <v>2.4 Despesas Administrativas</v>
      </c>
    </row>
    <row r="506" spans="2:20" x14ac:dyDescent="0.25">
      <c r="B506"/>
      <c r="C506"/>
      <c r="F506" s="17">
        <v>46154</v>
      </c>
      <c r="G506" t="s">
        <v>395</v>
      </c>
      <c r="H506" t="s">
        <v>27</v>
      </c>
      <c r="I506" t="s">
        <v>38</v>
      </c>
      <c r="L506" s="27">
        <v>-12075</v>
      </c>
      <c r="M506" t="s">
        <v>185</v>
      </c>
      <c r="N506" t="s">
        <v>195</v>
      </c>
      <c r="O506" s="34" t="s">
        <v>519</v>
      </c>
      <c r="P506" t="s">
        <v>187</v>
      </c>
      <c r="Q506" t="s">
        <v>23</v>
      </c>
      <c r="R506" t="s">
        <v>23</v>
      </c>
      <c r="S506" t="s">
        <v>25</v>
      </c>
      <c r="T506" t="str">
        <f>_xlfn.XLOOKUP(Tabela14[[#This Row],[Categoria]],CATEGORIAS!$C:$C,CATEGORIAS!$D:$D,"")</f>
        <v>2.4 Despesas Administrativas</v>
      </c>
    </row>
    <row r="507" spans="2:20" x14ac:dyDescent="0.25">
      <c r="B507"/>
      <c r="C507"/>
      <c r="F507" s="17">
        <v>46182</v>
      </c>
      <c r="G507" t="s">
        <v>395</v>
      </c>
      <c r="H507" t="s">
        <v>27</v>
      </c>
      <c r="I507" t="s">
        <v>38</v>
      </c>
      <c r="L507" s="27">
        <v>-12075</v>
      </c>
      <c r="M507" t="s">
        <v>185</v>
      </c>
      <c r="N507" t="s">
        <v>195</v>
      </c>
      <c r="O507" s="34" t="s">
        <v>519</v>
      </c>
      <c r="P507" t="s">
        <v>187</v>
      </c>
      <c r="Q507" t="s">
        <v>23</v>
      </c>
      <c r="R507" t="s">
        <v>23</v>
      </c>
      <c r="S507" t="s">
        <v>25</v>
      </c>
      <c r="T507" t="str">
        <f>_xlfn.XLOOKUP(Tabela14[[#This Row],[Categoria]],CATEGORIAS!$C:$C,CATEGORIAS!$D:$D,"")</f>
        <v>2.4 Despesas Administrativas</v>
      </c>
    </row>
    <row r="508" spans="2:20" x14ac:dyDescent="0.25">
      <c r="B508"/>
      <c r="C508"/>
      <c r="D508"/>
      <c r="E508"/>
      <c r="F508" s="17">
        <v>46154</v>
      </c>
      <c r="G508" t="s">
        <v>395</v>
      </c>
      <c r="H508" t="s">
        <v>27</v>
      </c>
      <c r="I508" t="s">
        <v>38</v>
      </c>
      <c r="L508" s="27">
        <v>-9270</v>
      </c>
      <c r="M508" t="s">
        <v>185</v>
      </c>
      <c r="N508" t="s">
        <v>195</v>
      </c>
      <c r="O508" s="34" t="s">
        <v>519</v>
      </c>
      <c r="P508" t="s">
        <v>187</v>
      </c>
      <c r="Q508" t="s">
        <v>23</v>
      </c>
      <c r="R508" t="s">
        <v>23</v>
      </c>
      <c r="S508" t="s">
        <v>25</v>
      </c>
      <c r="T508" t="str">
        <f>_xlfn.XLOOKUP(Tabela14[[#This Row],[Categoria]],CATEGORIAS!$C:$C,CATEGORIAS!$D:$D,"")</f>
        <v>2.4 Despesas Administrativas</v>
      </c>
    </row>
    <row r="509" spans="2:20" x14ac:dyDescent="0.25">
      <c r="B509"/>
      <c r="C509"/>
      <c r="D509"/>
      <c r="E509"/>
      <c r="F509" s="17">
        <v>46168</v>
      </c>
      <c r="G509" t="s">
        <v>395</v>
      </c>
      <c r="H509" t="s">
        <v>27</v>
      </c>
      <c r="I509" t="s">
        <v>349</v>
      </c>
      <c r="L509" s="27">
        <v>-10815</v>
      </c>
      <c r="M509" t="s">
        <v>185</v>
      </c>
      <c r="N509" t="s">
        <v>195</v>
      </c>
      <c r="O509" s="34" t="s">
        <v>519</v>
      </c>
      <c r="P509" t="s">
        <v>187</v>
      </c>
      <c r="Q509" t="s">
        <v>23</v>
      </c>
      <c r="R509" t="s">
        <v>23</v>
      </c>
      <c r="S509" t="s">
        <v>25</v>
      </c>
      <c r="T509" t="str">
        <f>_xlfn.XLOOKUP(Tabela14[[#This Row],[Categoria]],CATEGORIAS!$C:$C,CATEGORIAS!$D:$D,"")</f>
        <v/>
      </c>
    </row>
    <row r="510" spans="2:20" x14ac:dyDescent="0.25">
      <c r="B510"/>
      <c r="C510"/>
      <c r="D510"/>
      <c r="E510"/>
      <c r="F510" s="17">
        <v>46182</v>
      </c>
      <c r="G510" t="s">
        <v>395</v>
      </c>
      <c r="H510" t="s">
        <v>27</v>
      </c>
      <c r="I510" t="s">
        <v>349</v>
      </c>
      <c r="L510" s="27">
        <v>-10815</v>
      </c>
      <c r="M510" t="s">
        <v>185</v>
      </c>
      <c r="N510" t="s">
        <v>195</v>
      </c>
      <c r="O510" s="34" t="s">
        <v>519</v>
      </c>
      <c r="P510" t="s">
        <v>187</v>
      </c>
      <c r="Q510" t="s">
        <v>23</v>
      </c>
      <c r="R510" t="s">
        <v>23</v>
      </c>
      <c r="S510" t="s">
        <v>25</v>
      </c>
      <c r="T510" t="str">
        <f>_xlfn.XLOOKUP(Tabela14[[#This Row],[Categoria]],CATEGORIAS!$C:$C,CATEGORIAS!$D:$D,"")</f>
        <v/>
      </c>
    </row>
    <row r="511" spans="2:20" x14ac:dyDescent="0.25">
      <c r="B511"/>
      <c r="C511"/>
      <c r="D511"/>
      <c r="E511"/>
      <c r="F511" s="17">
        <v>46154</v>
      </c>
      <c r="G511" t="s">
        <v>395</v>
      </c>
      <c r="H511" t="s">
        <v>27</v>
      </c>
      <c r="I511" t="s">
        <v>349</v>
      </c>
      <c r="L511" s="27">
        <v>-3450</v>
      </c>
      <c r="M511" t="s">
        <v>185</v>
      </c>
      <c r="N511" t="s">
        <v>195</v>
      </c>
      <c r="O511" s="34" t="s">
        <v>519</v>
      </c>
      <c r="P511" t="s">
        <v>187</v>
      </c>
      <c r="Q511" t="s">
        <v>23</v>
      </c>
      <c r="R511" t="s">
        <v>23</v>
      </c>
      <c r="S511" t="s">
        <v>25</v>
      </c>
      <c r="T511" t="str">
        <f>_xlfn.XLOOKUP(Tabela14[[#This Row],[Categoria]],CATEGORIAS!$C:$C,CATEGORIAS!$D:$D,"")</f>
        <v/>
      </c>
    </row>
    <row r="512" spans="2:20" x14ac:dyDescent="0.25">
      <c r="B512"/>
      <c r="C512"/>
      <c r="D512"/>
      <c r="E512"/>
      <c r="F512" s="17">
        <v>46168</v>
      </c>
      <c r="G512" t="s">
        <v>395</v>
      </c>
      <c r="H512" t="s">
        <v>27</v>
      </c>
      <c r="I512" t="s">
        <v>349</v>
      </c>
      <c r="L512" s="27">
        <v>-4024.9999999999995</v>
      </c>
      <c r="M512" t="s">
        <v>185</v>
      </c>
      <c r="N512" t="s">
        <v>195</v>
      </c>
      <c r="O512" s="34" t="s">
        <v>519</v>
      </c>
      <c r="P512" t="s">
        <v>187</v>
      </c>
      <c r="Q512" t="s">
        <v>23</v>
      </c>
      <c r="R512" t="s">
        <v>23</v>
      </c>
      <c r="S512" t="s">
        <v>25</v>
      </c>
      <c r="T512" t="str">
        <f>_xlfn.XLOOKUP(Tabela14[[#This Row],[Categoria]],CATEGORIAS!$C:$C,CATEGORIAS!$D:$D,"")</f>
        <v/>
      </c>
    </row>
    <row r="513" spans="2:20" x14ac:dyDescent="0.25">
      <c r="B513"/>
      <c r="C513"/>
      <c r="D513"/>
      <c r="E513"/>
      <c r="F513" s="17">
        <v>46182</v>
      </c>
      <c r="G513" t="s">
        <v>395</v>
      </c>
      <c r="H513" t="s">
        <v>27</v>
      </c>
      <c r="I513" t="s">
        <v>349</v>
      </c>
      <c r="L513" s="27">
        <v>-4024.9999999999995</v>
      </c>
      <c r="M513" t="s">
        <v>185</v>
      </c>
      <c r="N513" t="s">
        <v>195</v>
      </c>
      <c r="O513" s="34" t="s">
        <v>519</v>
      </c>
      <c r="P513" t="s">
        <v>187</v>
      </c>
      <c r="Q513" t="s">
        <v>23</v>
      </c>
      <c r="R513" t="s">
        <v>23</v>
      </c>
      <c r="S513" t="s">
        <v>25</v>
      </c>
      <c r="T513" t="str">
        <f>_xlfn.XLOOKUP(Tabela14[[#This Row],[Categoria]],CATEGORIAS!$C:$C,CATEGORIAS!$D:$D,"")</f>
        <v/>
      </c>
    </row>
    <row r="514" spans="2:20" x14ac:dyDescent="0.25">
      <c r="B514"/>
      <c r="C514"/>
      <c r="D514" s="1">
        <v>46178</v>
      </c>
      <c r="E514" s="1">
        <v>46178</v>
      </c>
      <c r="F514" s="17">
        <v>46182</v>
      </c>
      <c r="G514" t="s">
        <v>394</v>
      </c>
      <c r="H514" t="s">
        <v>27</v>
      </c>
      <c r="I514" t="s">
        <v>100</v>
      </c>
      <c r="J514" s="30">
        <v>-122822.08</v>
      </c>
      <c r="K514" s="30">
        <v>0</v>
      </c>
      <c r="L514" s="33">
        <v>-122822.08</v>
      </c>
      <c r="M514" t="s">
        <v>185</v>
      </c>
      <c r="N514" t="s">
        <v>195</v>
      </c>
      <c r="O514" s="34" t="s">
        <v>516</v>
      </c>
      <c r="P514" t="s">
        <v>187</v>
      </c>
      <c r="Q514" t="s">
        <v>23</v>
      </c>
      <c r="R514" t="s">
        <v>23</v>
      </c>
      <c r="S514" t="s">
        <v>25</v>
      </c>
      <c r="T514" t="str">
        <f>_xlfn.XLOOKUP(Tabela14[[#This Row],[Categoria]],CATEGORIAS!$C:$C,CATEGORIAS!$D:$D,"")</f>
        <v>2.1 Despesas Diretas</v>
      </c>
    </row>
    <row r="515" spans="2:20" x14ac:dyDescent="0.25">
      <c r="B515"/>
      <c r="C515"/>
      <c r="D515" s="1">
        <v>46178</v>
      </c>
      <c r="E515" s="1">
        <v>46178</v>
      </c>
      <c r="F515" s="17">
        <v>46182</v>
      </c>
      <c r="G515" t="s">
        <v>394</v>
      </c>
      <c r="H515" t="s">
        <v>27</v>
      </c>
      <c r="I515" t="s">
        <v>100</v>
      </c>
      <c r="J515" s="30">
        <v>-21381.54</v>
      </c>
      <c r="K515" s="30">
        <v>0</v>
      </c>
      <c r="L515" s="33">
        <v>-68420.94</v>
      </c>
      <c r="M515" t="s">
        <v>185</v>
      </c>
      <c r="N515" t="s">
        <v>195</v>
      </c>
      <c r="O515" s="34" t="s">
        <v>517</v>
      </c>
      <c r="P515" t="s">
        <v>187</v>
      </c>
      <c r="Q515" t="s">
        <v>23</v>
      </c>
      <c r="R515" t="s">
        <v>23</v>
      </c>
      <c r="S515" t="s">
        <v>25</v>
      </c>
      <c r="T515" t="str">
        <f>_xlfn.XLOOKUP(Tabela14[[#This Row],[Categoria]],CATEGORIAS!$C:$C,CATEGORIAS!$D:$D,"")</f>
        <v>2.1 Despesas Diretas</v>
      </c>
    </row>
    <row r="516" spans="2:20" x14ac:dyDescent="0.25">
      <c r="B516"/>
      <c r="C516"/>
      <c r="D516" s="1">
        <v>46178</v>
      </c>
      <c r="E516" s="1">
        <v>46178</v>
      </c>
      <c r="F516" s="17">
        <v>46182</v>
      </c>
      <c r="G516" t="s">
        <v>396</v>
      </c>
      <c r="H516" t="s">
        <v>27</v>
      </c>
      <c r="I516" t="s">
        <v>91</v>
      </c>
      <c r="J516" s="30">
        <v>-53000</v>
      </c>
      <c r="K516" s="30">
        <v>0</v>
      </c>
      <c r="L516" s="33">
        <v>-53000</v>
      </c>
      <c r="M516" t="s">
        <v>185</v>
      </c>
      <c r="N516" t="s">
        <v>195</v>
      </c>
      <c r="O516" s="34" t="s">
        <v>388</v>
      </c>
      <c r="P516" t="s">
        <v>187</v>
      </c>
      <c r="Q516" t="s">
        <v>23</v>
      </c>
      <c r="R516" t="s">
        <v>23</v>
      </c>
      <c r="S516" t="s">
        <v>25</v>
      </c>
      <c r="T516" t="str">
        <f>_xlfn.XLOOKUP(Tabela14[[#This Row],[Categoria]],CATEGORIAS!$C:$C,CATEGORIAS!$D:$D,"")</f>
        <v>2.1 Despesas Diretas</v>
      </c>
    </row>
    <row r="517" spans="2:20" x14ac:dyDescent="0.25">
      <c r="B517"/>
      <c r="C517"/>
      <c r="D517" s="1">
        <v>46192</v>
      </c>
      <c r="E517" s="1">
        <v>46192</v>
      </c>
      <c r="F517" s="17">
        <v>46196</v>
      </c>
      <c r="G517" t="s">
        <v>394</v>
      </c>
      <c r="H517" t="s">
        <v>27</v>
      </c>
      <c r="I517" t="s">
        <v>100</v>
      </c>
      <c r="J517" s="30">
        <v>-102351.74</v>
      </c>
      <c r="K517" s="30">
        <v>0</v>
      </c>
      <c r="L517" s="33">
        <v>-102351.74</v>
      </c>
      <c r="M517" t="s">
        <v>185</v>
      </c>
      <c r="N517" t="s">
        <v>195</v>
      </c>
      <c r="O517" s="34" t="s">
        <v>516</v>
      </c>
      <c r="P517" t="s">
        <v>187</v>
      </c>
      <c r="Q517" t="s">
        <v>23</v>
      </c>
      <c r="R517" t="s">
        <v>23</v>
      </c>
      <c r="S517" t="s">
        <v>25</v>
      </c>
      <c r="T517" t="str">
        <f>_xlfn.XLOOKUP(Tabela14[[#This Row],[Categoria]],CATEGORIAS!$C:$C,CATEGORIAS!$D:$D,"")</f>
        <v>2.1 Despesas Diretas</v>
      </c>
    </row>
    <row r="518" spans="2:20" x14ac:dyDescent="0.25">
      <c r="B518"/>
      <c r="C518"/>
      <c r="D518" s="1">
        <v>46192</v>
      </c>
      <c r="E518" s="1">
        <v>46192</v>
      </c>
      <c r="F518" s="17">
        <v>46196</v>
      </c>
      <c r="G518" t="s">
        <v>394</v>
      </c>
      <c r="H518" t="s">
        <v>27</v>
      </c>
      <c r="I518" t="s">
        <v>100</v>
      </c>
      <c r="J518" s="30">
        <v>-39653.040000000001</v>
      </c>
      <c r="K518" s="30">
        <v>0</v>
      </c>
      <c r="L518" s="33">
        <v>-105741.95</v>
      </c>
      <c r="M518" t="s">
        <v>185</v>
      </c>
      <c r="N518" t="s">
        <v>195</v>
      </c>
      <c r="O518" s="34" t="s">
        <v>517</v>
      </c>
      <c r="P518" t="s">
        <v>187</v>
      </c>
      <c r="Q518" t="s">
        <v>23</v>
      </c>
      <c r="R518" t="s">
        <v>23</v>
      </c>
      <c r="S518" t="s">
        <v>25</v>
      </c>
      <c r="T518" t="str">
        <f>_xlfn.XLOOKUP(Tabela14[[#This Row],[Categoria]],CATEGORIAS!$C:$C,CATEGORIAS!$D:$D,"")</f>
        <v>2.1 Despesas Diretas</v>
      </c>
    </row>
    <row r="519" spans="2:20" x14ac:dyDescent="0.25">
      <c r="B519"/>
      <c r="C519"/>
      <c r="D519" s="1">
        <v>46192</v>
      </c>
      <c r="E519" s="1">
        <v>46192</v>
      </c>
      <c r="F519" s="17">
        <v>46196</v>
      </c>
      <c r="G519" t="s">
        <v>396</v>
      </c>
      <c r="H519" t="s">
        <v>27</v>
      </c>
      <c r="I519" t="s">
        <v>91</v>
      </c>
      <c r="J519" s="30">
        <v>-53000</v>
      </c>
      <c r="K519" s="30">
        <v>0</v>
      </c>
      <c r="L519" s="33">
        <v>-53000</v>
      </c>
      <c r="M519" t="s">
        <v>185</v>
      </c>
      <c r="N519" t="s">
        <v>195</v>
      </c>
      <c r="O519" s="34" t="s">
        <v>388</v>
      </c>
      <c r="P519" t="s">
        <v>187</v>
      </c>
      <c r="Q519" t="s">
        <v>23</v>
      </c>
      <c r="R519" t="s">
        <v>23</v>
      </c>
      <c r="S519" t="s">
        <v>25</v>
      </c>
      <c r="T519" t="str">
        <f>_xlfn.XLOOKUP(Tabela14[[#This Row],[Categoria]],CATEGORIAS!$C:$C,CATEGORIAS!$D:$D,"")</f>
        <v>2.1 Despesas Diretas</v>
      </c>
    </row>
    <row r="520" spans="2:20" x14ac:dyDescent="0.25">
      <c r="B520"/>
      <c r="C520"/>
      <c r="D520" s="1">
        <v>46206</v>
      </c>
      <c r="E520" s="1">
        <v>46206</v>
      </c>
      <c r="F520" s="17">
        <v>46210</v>
      </c>
      <c r="G520" t="s">
        <v>394</v>
      </c>
      <c r="H520" t="s">
        <v>27</v>
      </c>
      <c r="I520" t="s">
        <v>100</v>
      </c>
      <c r="J520" s="30">
        <v>-10085.89</v>
      </c>
      <c r="K520" s="30">
        <v>0</v>
      </c>
      <c r="L520" s="33">
        <v>-32275</v>
      </c>
      <c r="M520" t="s">
        <v>185</v>
      </c>
      <c r="N520" t="s">
        <v>195</v>
      </c>
      <c r="O520" s="34" t="s">
        <v>517</v>
      </c>
      <c r="P520" t="s">
        <v>187</v>
      </c>
      <c r="Q520" t="s">
        <v>23</v>
      </c>
      <c r="R520" t="s">
        <v>23</v>
      </c>
      <c r="S520" t="s">
        <v>25</v>
      </c>
      <c r="T520" t="str">
        <f>_xlfn.XLOOKUP(Tabela14[[#This Row],[Categoria]],CATEGORIAS!$C:$C,CATEGORIAS!$D:$D,"")</f>
        <v>2.1 Despesas Diretas</v>
      </c>
    </row>
    <row r="521" spans="2:20" x14ac:dyDescent="0.25">
      <c r="B521"/>
      <c r="C521"/>
      <c r="D521" s="1">
        <v>46150</v>
      </c>
      <c r="E521" s="1">
        <v>46150</v>
      </c>
      <c r="F521" s="17">
        <v>46159</v>
      </c>
      <c r="G521" t="s">
        <v>392</v>
      </c>
      <c r="H521" t="s">
        <v>27</v>
      </c>
      <c r="I521" t="s">
        <v>94</v>
      </c>
      <c r="J521" s="30">
        <v>-4864</v>
      </c>
      <c r="K521" s="30">
        <v>0</v>
      </c>
      <c r="L521" s="33">
        <v>-1057.92</v>
      </c>
      <c r="M521" t="s">
        <v>185</v>
      </c>
      <c r="N521" t="s">
        <v>210</v>
      </c>
      <c r="O521" s="34" t="s">
        <v>520</v>
      </c>
      <c r="P521" t="s">
        <v>187</v>
      </c>
      <c r="Q521" t="s">
        <v>23</v>
      </c>
      <c r="R521" t="s">
        <v>23</v>
      </c>
      <c r="S521" t="s">
        <v>25</v>
      </c>
      <c r="T521" t="str">
        <f>_xlfn.XLOOKUP(Tabela14[[#This Row],[Categoria]],CATEGORIAS!$C:$C,CATEGORIAS!$D:$D,"")</f>
        <v>2.1 Despesas Diretas</v>
      </c>
    </row>
    <row r="522" spans="2:20" x14ac:dyDescent="0.25">
      <c r="B522"/>
      <c r="C522"/>
      <c r="D522" s="1">
        <v>46150</v>
      </c>
      <c r="E522" s="1">
        <v>46150</v>
      </c>
      <c r="F522" s="17">
        <v>46171</v>
      </c>
      <c r="G522" t="s">
        <v>392</v>
      </c>
      <c r="H522" t="s">
        <v>27</v>
      </c>
      <c r="I522" t="s">
        <v>94</v>
      </c>
      <c r="J522" s="30">
        <v>-4864</v>
      </c>
      <c r="K522" s="30">
        <v>0</v>
      </c>
      <c r="L522" s="33">
        <v>-863.04</v>
      </c>
      <c r="M522" t="s">
        <v>185</v>
      </c>
      <c r="N522" t="s">
        <v>210</v>
      </c>
      <c r="O522" s="34" t="s">
        <v>520</v>
      </c>
      <c r="P522" t="s">
        <v>187</v>
      </c>
      <c r="Q522" t="s">
        <v>23</v>
      </c>
      <c r="R522" t="s">
        <v>23</v>
      </c>
      <c r="S522" t="s">
        <v>25</v>
      </c>
      <c r="T522" t="str">
        <f>_xlfn.XLOOKUP(Tabela14[[#This Row],[Categoria]],CATEGORIAS!$C:$C,CATEGORIAS!$D:$D,"")</f>
        <v>2.1 Despesas Diretas</v>
      </c>
    </row>
    <row r="523" spans="2:20" x14ac:dyDescent="0.25">
      <c r="B523"/>
      <c r="C523"/>
      <c r="D523" s="1">
        <v>46150</v>
      </c>
      <c r="E523" s="1">
        <v>46150</v>
      </c>
      <c r="F523" s="17">
        <v>46159</v>
      </c>
      <c r="G523" t="s">
        <v>392</v>
      </c>
      <c r="H523" t="s">
        <v>27</v>
      </c>
      <c r="I523" t="s">
        <v>92</v>
      </c>
      <c r="J523" s="30">
        <v>-5376</v>
      </c>
      <c r="K523" s="30">
        <v>0</v>
      </c>
      <c r="L523" s="33">
        <v>-2128</v>
      </c>
      <c r="M523" t="s">
        <v>185</v>
      </c>
      <c r="N523" t="s">
        <v>210</v>
      </c>
      <c r="O523" s="34" t="s">
        <v>521</v>
      </c>
      <c r="P523" t="s">
        <v>187</v>
      </c>
      <c r="Q523" t="s">
        <v>23</v>
      </c>
      <c r="R523" t="s">
        <v>23</v>
      </c>
      <c r="S523" t="s">
        <v>25</v>
      </c>
      <c r="T523" t="str">
        <f>_xlfn.XLOOKUP(Tabela14[[#This Row],[Categoria]],CATEGORIAS!$C:$C,CATEGORIAS!$D:$D,"")</f>
        <v>2.1 Despesas Diretas</v>
      </c>
    </row>
    <row r="524" spans="2:20" x14ac:dyDescent="0.25">
      <c r="B524"/>
      <c r="C524"/>
      <c r="D524" s="1">
        <v>46150</v>
      </c>
      <c r="E524" s="1">
        <v>46150</v>
      </c>
      <c r="F524" s="17">
        <v>46171</v>
      </c>
      <c r="G524" t="s">
        <v>392</v>
      </c>
      <c r="H524" t="s">
        <v>27</v>
      </c>
      <c r="I524" t="s">
        <v>92</v>
      </c>
      <c r="J524" s="30">
        <v>-5376</v>
      </c>
      <c r="K524" s="30">
        <v>0</v>
      </c>
      <c r="L524" s="33">
        <v>-1736</v>
      </c>
      <c r="M524" t="s">
        <v>185</v>
      </c>
      <c r="N524" t="s">
        <v>210</v>
      </c>
      <c r="O524" s="34" t="s">
        <v>521</v>
      </c>
      <c r="P524" t="s">
        <v>187</v>
      </c>
      <c r="Q524" t="s">
        <v>23</v>
      </c>
      <c r="R524" t="s">
        <v>23</v>
      </c>
      <c r="S524" t="s">
        <v>25</v>
      </c>
      <c r="T524" t="str">
        <f>_xlfn.XLOOKUP(Tabela14[[#This Row],[Categoria]],CATEGORIAS!$C:$C,CATEGORIAS!$D:$D,"")</f>
        <v>2.1 Despesas Diretas</v>
      </c>
    </row>
    <row r="525" spans="2:20" x14ac:dyDescent="0.25">
      <c r="B525"/>
      <c r="C525"/>
      <c r="D525" s="1">
        <v>46150</v>
      </c>
      <c r="E525" s="1">
        <v>46150</v>
      </c>
      <c r="F525" s="17">
        <v>46184</v>
      </c>
      <c r="G525" t="s">
        <v>392</v>
      </c>
      <c r="H525" t="s">
        <v>27</v>
      </c>
      <c r="I525" t="s">
        <v>92</v>
      </c>
      <c r="J525" s="30">
        <v>-5376</v>
      </c>
      <c r="K525" s="30">
        <v>0</v>
      </c>
      <c r="L525" s="33">
        <v>-1736</v>
      </c>
      <c r="M525" t="s">
        <v>185</v>
      </c>
      <c r="N525" t="s">
        <v>210</v>
      </c>
      <c r="O525" s="34" t="s">
        <v>521</v>
      </c>
      <c r="P525" t="s">
        <v>187</v>
      </c>
      <c r="Q525" t="s">
        <v>23</v>
      </c>
      <c r="R525" t="s">
        <v>23</v>
      </c>
      <c r="S525" t="s">
        <v>25</v>
      </c>
      <c r="T525" t="str">
        <f>_xlfn.XLOOKUP(Tabela14[[#This Row],[Categoria]],CATEGORIAS!$C:$C,CATEGORIAS!$D:$D,"")</f>
        <v>2.1 Despesas Diretas</v>
      </c>
    </row>
    <row r="526" spans="2:20" x14ac:dyDescent="0.25">
      <c r="B526"/>
      <c r="C526"/>
      <c r="D526" s="1">
        <v>46150</v>
      </c>
      <c r="E526" s="1">
        <v>46150</v>
      </c>
      <c r="F526" s="17">
        <v>46159</v>
      </c>
      <c r="G526" t="s">
        <v>392</v>
      </c>
      <c r="H526" t="s">
        <v>27</v>
      </c>
      <c r="I526" t="s">
        <v>92</v>
      </c>
      <c r="J526" s="31">
        <v>-4992</v>
      </c>
      <c r="K526" s="31">
        <v>0</v>
      </c>
      <c r="L526" s="33">
        <v>-1889.664</v>
      </c>
      <c r="M526" t="s">
        <v>185</v>
      </c>
      <c r="N526" t="s">
        <v>210</v>
      </c>
      <c r="O526" s="34" t="s">
        <v>522</v>
      </c>
      <c r="P526" t="s">
        <v>187</v>
      </c>
      <c r="Q526" t="s">
        <v>23</v>
      </c>
      <c r="R526" t="s">
        <v>23</v>
      </c>
      <c r="S526" t="s">
        <v>25</v>
      </c>
      <c r="T526" t="str">
        <f>_xlfn.XLOOKUP(Tabela14[[#This Row],[Categoria]],CATEGORIAS!$C:$C,CATEGORIAS!$D:$D,"")</f>
        <v>2.1 Despesas Diretas</v>
      </c>
    </row>
    <row r="527" spans="2:20" x14ac:dyDescent="0.25">
      <c r="B527"/>
      <c r="C527"/>
      <c r="D527" s="1">
        <v>46150</v>
      </c>
      <c r="E527" s="1">
        <v>46150</v>
      </c>
      <c r="F527" s="17">
        <v>46171</v>
      </c>
      <c r="G527" t="s">
        <v>392</v>
      </c>
      <c r="H527" t="s">
        <v>27</v>
      </c>
      <c r="I527" t="s">
        <v>92</v>
      </c>
      <c r="J527" s="31">
        <v>-4992</v>
      </c>
      <c r="K527" s="31">
        <v>0</v>
      </c>
      <c r="L527" s="33">
        <v>-1541.568</v>
      </c>
      <c r="M527" t="s">
        <v>185</v>
      </c>
      <c r="N527" t="s">
        <v>210</v>
      </c>
      <c r="O527" s="34" t="s">
        <v>522</v>
      </c>
      <c r="P527" t="s">
        <v>187</v>
      </c>
      <c r="Q527" t="s">
        <v>23</v>
      </c>
      <c r="R527" t="s">
        <v>23</v>
      </c>
      <c r="S527" t="s">
        <v>25</v>
      </c>
      <c r="T527" t="str">
        <f>_xlfn.XLOOKUP(Tabela14[[#This Row],[Categoria]],CATEGORIAS!$C:$C,CATEGORIAS!$D:$D,"")</f>
        <v>2.1 Despesas Diretas</v>
      </c>
    </row>
    <row r="528" spans="2:20" x14ac:dyDescent="0.25">
      <c r="B528"/>
      <c r="C528"/>
      <c r="D528" s="1">
        <v>46150</v>
      </c>
      <c r="E528" s="1">
        <v>46150</v>
      </c>
      <c r="F528" s="17">
        <v>46184</v>
      </c>
      <c r="G528" t="s">
        <v>392</v>
      </c>
      <c r="H528" t="s">
        <v>27</v>
      </c>
      <c r="I528" t="s">
        <v>92</v>
      </c>
      <c r="J528" s="31">
        <v>-4992</v>
      </c>
      <c r="K528" s="31">
        <v>0</v>
      </c>
      <c r="L528" s="33">
        <v>-1541.568</v>
      </c>
      <c r="M528" t="s">
        <v>185</v>
      </c>
      <c r="N528" t="s">
        <v>210</v>
      </c>
      <c r="O528" s="34" t="s">
        <v>522</v>
      </c>
      <c r="P528" t="s">
        <v>187</v>
      </c>
      <c r="Q528" t="s">
        <v>23</v>
      </c>
      <c r="R528" t="s">
        <v>23</v>
      </c>
      <c r="S528" t="s">
        <v>25</v>
      </c>
      <c r="T528" t="str">
        <f>_xlfn.XLOOKUP(Tabela14[[#This Row],[Categoria]],CATEGORIAS!$C:$C,CATEGORIAS!$D:$D,"")</f>
        <v>2.1 Despesas Diretas</v>
      </c>
    </row>
    <row r="529" spans="2:20" x14ac:dyDescent="0.25">
      <c r="B529"/>
      <c r="C529"/>
      <c r="D529" s="1">
        <v>46150</v>
      </c>
      <c r="E529" s="1">
        <v>46150</v>
      </c>
      <c r="F529" s="17">
        <v>46118</v>
      </c>
      <c r="G529" t="s">
        <v>393</v>
      </c>
      <c r="H529" t="s">
        <v>27</v>
      </c>
      <c r="I529" t="s">
        <v>99</v>
      </c>
      <c r="J529" s="30">
        <v>-5538.13</v>
      </c>
      <c r="K529" s="30">
        <v>0</v>
      </c>
      <c r="L529" s="33">
        <v>-3900</v>
      </c>
      <c r="M529" t="s">
        <v>185</v>
      </c>
      <c r="N529" t="s">
        <v>210</v>
      </c>
      <c r="O529" s="34" t="s">
        <v>523</v>
      </c>
      <c r="P529" t="s">
        <v>187</v>
      </c>
      <c r="Q529" t="s">
        <v>23</v>
      </c>
      <c r="R529" t="s">
        <v>23</v>
      </c>
      <c r="S529" t="s">
        <v>25</v>
      </c>
      <c r="T529" t="str">
        <f>_xlfn.XLOOKUP(Tabela14[[#This Row],[Categoria]],CATEGORIAS!$C:$C,CATEGORIAS!$D:$D,"")</f>
        <v>2.1 Despesas Diretas</v>
      </c>
    </row>
    <row r="530" spans="2:20" x14ac:dyDescent="0.25">
      <c r="B530"/>
      <c r="C530"/>
      <c r="D530" s="1">
        <v>46150</v>
      </c>
      <c r="E530" s="1">
        <v>46150</v>
      </c>
      <c r="F530" s="17">
        <v>46133</v>
      </c>
      <c r="G530" t="s">
        <v>393</v>
      </c>
      <c r="H530" t="s">
        <v>27</v>
      </c>
      <c r="I530" t="s">
        <v>99</v>
      </c>
      <c r="J530" s="30">
        <v>-5538.13</v>
      </c>
      <c r="K530" s="30">
        <v>0</v>
      </c>
      <c r="L530" s="33">
        <v>-3900</v>
      </c>
      <c r="M530" t="s">
        <v>185</v>
      </c>
      <c r="N530" t="s">
        <v>210</v>
      </c>
      <c r="O530" s="34" t="s">
        <v>523</v>
      </c>
      <c r="P530" t="s">
        <v>187</v>
      </c>
      <c r="Q530" t="s">
        <v>23</v>
      </c>
      <c r="R530" t="s">
        <v>23</v>
      </c>
      <c r="S530" t="s">
        <v>25</v>
      </c>
      <c r="T530" t="str">
        <f>_xlfn.XLOOKUP(Tabela14[[#This Row],[Categoria]],CATEGORIAS!$C:$C,CATEGORIAS!$D:$D,"")</f>
        <v>2.1 Despesas Diretas</v>
      </c>
    </row>
    <row r="531" spans="2:20" x14ac:dyDescent="0.25">
      <c r="B531"/>
      <c r="C531"/>
      <c r="D531" s="1">
        <v>46150</v>
      </c>
      <c r="E531" s="1">
        <v>46150</v>
      </c>
      <c r="F531" s="17">
        <v>46159</v>
      </c>
      <c r="G531" t="s">
        <v>392</v>
      </c>
      <c r="H531" t="s">
        <v>27</v>
      </c>
      <c r="I531" t="s">
        <v>92</v>
      </c>
      <c r="J531" s="30">
        <v>-14112</v>
      </c>
      <c r="K531" s="30">
        <v>0</v>
      </c>
      <c r="L531" s="33">
        <v>-12160</v>
      </c>
      <c r="M531" t="s">
        <v>185</v>
      </c>
      <c r="N531" t="s">
        <v>210</v>
      </c>
      <c r="O531" s="34" t="s">
        <v>524</v>
      </c>
      <c r="P531" t="s">
        <v>187</v>
      </c>
      <c r="Q531" t="s">
        <v>23</v>
      </c>
      <c r="R531" t="s">
        <v>23</v>
      </c>
      <c r="S531" t="s">
        <v>25</v>
      </c>
      <c r="T531" t="str">
        <f>_xlfn.XLOOKUP(Tabela14[[#This Row],[Categoria]],CATEGORIAS!$C:$C,CATEGORIAS!$D:$D,"")</f>
        <v>2.1 Despesas Diretas</v>
      </c>
    </row>
    <row r="532" spans="2:20" x14ac:dyDescent="0.25">
      <c r="B532"/>
      <c r="C532"/>
      <c r="D532" s="1">
        <v>46150</v>
      </c>
      <c r="E532" s="1">
        <v>46150</v>
      </c>
      <c r="F532" s="17">
        <v>46143</v>
      </c>
      <c r="G532" t="s">
        <v>389</v>
      </c>
      <c r="H532" t="s">
        <v>27</v>
      </c>
      <c r="I532" t="s">
        <v>98</v>
      </c>
      <c r="J532" s="31">
        <v>-630</v>
      </c>
      <c r="K532" s="31">
        <v>0</v>
      </c>
      <c r="L532" s="33">
        <v>-4666.666666666667</v>
      </c>
      <c r="M532" t="s">
        <v>185</v>
      </c>
      <c r="N532" t="s">
        <v>210</v>
      </c>
      <c r="O532" s="34" t="s">
        <v>525</v>
      </c>
      <c r="P532" t="s">
        <v>187</v>
      </c>
      <c r="Q532" t="s">
        <v>23</v>
      </c>
      <c r="R532" t="s">
        <v>23</v>
      </c>
      <c r="S532" t="s">
        <v>25</v>
      </c>
      <c r="T532" t="str">
        <f>_xlfn.XLOOKUP(Tabela14[[#This Row],[Categoria]],CATEGORIAS!$C:$C,CATEGORIAS!$D:$D,"")</f>
        <v>2.1 Despesas Diretas</v>
      </c>
    </row>
    <row r="533" spans="2:20" x14ac:dyDescent="0.25">
      <c r="B533"/>
      <c r="C533"/>
      <c r="D533" s="1">
        <v>46150</v>
      </c>
      <c r="E533" s="1">
        <v>46150</v>
      </c>
      <c r="F533" s="17">
        <v>46171</v>
      </c>
      <c r="G533" t="s">
        <v>392</v>
      </c>
      <c r="H533" t="s">
        <v>27</v>
      </c>
      <c r="I533" t="s">
        <v>92</v>
      </c>
      <c r="J533" s="30">
        <v>-14112</v>
      </c>
      <c r="K533" s="30">
        <v>0</v>
      </c>
      <c r="L533" s="33">
        <v>-9920</v>
      </c>
      <c r="M533" t="s">
        <v>185</v>
      </c>
      <c r="N533" t="s">
        <v>210</v>
      </c>
      <c r="O533" s="34" t="s">
        <v>524</v>
      </c>
      <c r="P533" t="s">
        <v>187</v>
      </c>
      <c r="Q533" t="s">
        <v>23</v>
      </c>
      <c r="R533" t="s">
        <v>23</v>
      </c>
      <c r="S533" t="s">
        <v>25</v>
      </c>
      <c r="T533" t="str">
        <f>_xlfn.XLOOKUP(Tabela14[[#This Row],[Categoria]],CATEGORIAS!$C:$C,CATEGORIAS!$D:$D,"")</f>
        <v>2.1 Despesas Diretas</v>
      </c>
    </row>
    <row r="534" spans="2:20" x14ac:dyDescent="0.25">
      <c r="B534"/>
      <c r="C534"/>
      <c r="D534" s="1">
        <v>46178</v>
      </c>
      <c r="E534" s="1">
        <v>46178</v>
      </c>
      <c r="F534" s="17">
        <v>46184</v>
      </c>
      <c r="G534" t="s">
        <v>392</v>
      </c>
      <c r="H534" t="s">
        <v>27</v>
      </c>
      <c r="I534" t="s">
        <v>94</v>
      </c>
      <c r="J534" s="30">
        <v>-4864</v>
      </c>
      <c r="K534" s="30">
        <v>0</v>
      </c>
      <c r="L534" s="33">
        <v>-863.04</v>
      </c>
      <c r="M534" t="s">
        <v>185</v>
      </c>
      <c r="N534" t="s">
        <v>210</v>
      </c>
      <c r="O534" s="34" t="s">
        <v>520</v>
      </c>
      <c r="P534" t="s">
        <v>187</v>
      </c>
      <c r="Q534" t="s">
        <v>23</v>
      </c>
      <c r="R534" t="s">
        <v>23</v>
      </c>
      <c r="S534" t="s">
        <v>25</v>
      </c>
      <c r="T534" t="str">
        <f>_xlfn.XLOOKUP(Tabela14[[#This Row],[Categoria]],CATEGORIAS!$C:$C,CATEGORIAS!$D:$D,"")</f>
        <v>2.1 Despesas Diretas</v>
      </c>
    </row>
    <row r="535" spans="2:20" x14ac:dyDescent="0.25">
      <c r="B535"/>
      <c r="C535"/>
      <c r="D535" s="1">
        <v>46164</v>
      </c>
      <c r="E535" s="1">
        <v>46164</v>
      </c>
      <c r="F535" s="17">
        <v>46174</v>
      </c>
      <c r="G535" t="s">
        <v>389</v>
      </c>
      <c r="H535" t="s">
        <v>27</v>
      </c>
      <c r="I535" t="s">
        <v>98</v>
      </c>
      <c r="J535" s="30">
        <v>-630</v>
      </c>
      <c r="K535" s="30">
        <v>0</v>
      </c>
      <c r="L535" s="33">
        <v>-4666.666666666667</v>
      </c>
      <c r="M535" t="s">
        <v>185</v>
      </c>
      <c r="N535" t="s">
        <v>210</v>
      </c>
      <c r="O535" s="34" t="s">
        <v>525</v>
      </c>
      <c r="P535" t="s">
        <v>187</v>
      </c>
      <c r="Q535" t="s">
        <v>23</v>
      </c>
      <c r="R535" t="s">
        <v>23</v>
      </c>
      <c r="S535" t="s">
        <v>25</v>
      </c>
      <c r="T535" t="str">
        <f>_xlfn.XLOOKUP(Tabela14[[#This Row],[Categoria]],CATEGORIAS!$C:$C,CATEGORIAS!$D:$D,"")</f>
        <v>2.1 Despesas Diretas</v>
      </c>
    </row>
    <row r="536" spans="2:20" x14ac:dyDescent="0.25">
      <c r="B536"/>
      <c r="C536"/>
      <c r="D536" s="1">
        <v>46178</v>
      </c>
      <c r="E536" s="1">
        <v>46178</v>
      </c>
      <c r="F536" s="17">
        <v>46204</v>
      </c>
      <c r="G536" t="s">
        <v>389</v>
      </c>
      <c r="H536" t="s">
        <v>27</v>
      </c>
      <c r="I536" t="s">
        <v>98</v>
      </c>
      <c r="J536" s="30">
        <v>-840</v>
      </c>
      <c r="K536" s="30">
        <v>0</v>
      </c>
      <c r="L536" s="33">
        <v>-4666.666666666667</v>
      </c>
      <c r="M536" t="s">
        <v>185</v>
      </c>
      <c r="N536" t="s">
        <v>210</v>
      </c>
      <c r="O536" s="34" t="s">
        <v>525</v>
      </c>
      <c r="P536" t="s">
        <v>187</v>
      </c>
      <c r="Q536" t="s">
        <v>23</v>
      </c>
      <c r="R536" t="s">
        <v>23</v>
      </c>
      <c r="S536" t="s">
        <v>25</v>
      </c>
      <c r="T536" t="str">
        <f>_xlfn.XLOOKUP(Tabela14[[#This Row],[Categoria]],CATEGORIAS!$C:$C,CATEGORIAS!$D:$D,"")</f>
        <v>2.1 Despesas Diretas</v>
      </c>
    </row>
    <row r="537" spans="2:20" x14ac:dyDescent="0.25">
      <c r="B537"/>
      <c r="C537"/>
      <c r="D537" s="1">
        <v>46150</v>
      </c>
      <c r="E537" s="1">
        <v>46150</v>
      </c>
      <c r="F537" s="17">
        <v>46184</v>
      </c>
      <c r="G537" t="s">
        <v>392</v>
      </c>
      <c r="H537" t="s">
        <v>27</v>
      </c>
      <c r="I537" t="s">
        <v>92</v>
      </c>
      <c r="J537" s="30">
        <v>-14112</v>
      </c>
      <c r="K537" s="30">
        <v>0</v>
      </c>
      <c r="L537" s="33">
        <v>-9920</v>
      </c>
      <c r="M537" t="s">
        <v>185</v>
      </c>
      <c r="N537" t="s">
        <v>210</v>
      </c>
      <c r="O537" s="34" t="s">
        <v>524</v>
      </c>
      <c r="P537" t="s">
        <v>187</v>
      </c>
      <c r="Q537" t="s">
        <v>23</v>
      </c>
      <c r="R537" t="s">
        <v>23</v>
      </c>
      <c r="S537" t="s">
        <v>25</v>
      </c>
      <c r="T537" t="str">
        <f>_xlfn.XLOOKUP(Tabela14[[#This Row],[Categoria]],CATEGORIAS!$C:$C,CATEGORIAS!$D:$D,"")</f>
        <v>2.1 Despesas Diretas</v>
      </c>
    </row>
    <row r="538" spans="2:20" x14ac:dyDescent="0.25">
      <c r="B538"/>
      <c r="C538"/>
      <c r="D538" s="1">
        <v>46150</v>
      </c>
      <c r="E538" s="1">
        <v>46150</v>
      </c>
      <c r="F538" s="17">
        <v>46146</v>
      </c>
      <c r="G538" t="s">
        <v>390</v>
      </c>
      <c r="H538" t="s">
        <v>27</v>
      </c>
      <c r="I538" t="s">
        <v>94</v>
      </c>
      <c r="J538" s="31">
        <v>-2880</v>
      </c>
      <c r="K538" s="31">
        <v>0</v>
      </c>
      <c r="L538" s="33">
        <v>-2867.2000000000003</v>
      </c>
      <c r="M538" t="s">
        <v>185</v>
      </c>
      <c r="N538" t="s">
        <v>206</v>
      </c>
      <c r="O538" s="34" t="s">
        <v>526</v>
      </c>
      <c r="P538" t="s">
        <v>187</v>
      </c>
      <c r="Q538" t="s">
        <v>23</v>
      </c>
      <c r="R538" t="s">
        <v>23</v>
      </c>
      <c r="S538" t="s">
        <v>25</v>
      </c>
      <c r="T538" t="str">
        <f>_xlfn.XLOOKUP(Tabela14[[#This Row],[Categoria]],CATEGORIAS!$C:$C,CATEGORIAS!$D:$D,"")</f>
        <v>2.1 Despesas Diretas</v>
      </c>
    </row>
    <row r="539" spans="2:20" x14ac:dyDescent="0.25">
      <c r="B539"/>
      <c r="C539"/>
      <c r="D539" s="1">
        <v>46150</v>
      </c>
      <c r="E539" s="1">
        <v>46150</v>
      </c>
      <c r="F539" s="17">
        <v>46118</v>
      </c>
      <c r="G539" t="s">
        <v>391</v>
      </c>
      <c r="H539" t="s">
        <v>27</v>
      </c>
      <c r="I539" t="s">
        <v>94</v>
      </c>
      <c r="J539" s="30">
        <v>-1127.58</v>
      </c>
      <c r="K539" s="30">
        <v>0</v>
      </c>
      <c r="L539" s="33">
        <v>-1500</v>
      </c>
      <c r="M539" t="s">
        <v>185</v>
      </c>
      <c r="N539" t="s">
        <v>206</v>
      </c>
      <c r="O539" s="34" t="s">
        <v>527</v>
      </c>
      <c r="P539" t="s">
        <v>187</v>
      </c>
      <c r="Q539" t="s">
        <v>23</v>
      </c>
      <c r="R539" t="s">
        <v>23</v>
      </c>
      <c r="S539" t="s">
        <v>25</v>
      </c>
      <c r="T539" t="str">
        <f>_xlfn.XLOOKUP(Tabela14[[#This Row],[Categoria]],CATEGORIAS!$C:$C,CATEGORIAS!$D:$D,"")</f>
        <v>2.1 Despesas Diretas</v>
      </c>
    </row>
    <row r="540" spans="2:20" x14ac:dyDescent="0.25">
      <c r="B540"/>
      <c r="C540"/>
      <c r="D540" s="1">
        <v>46150</v>
      </c>
      <c r="E540" s="1">
        <v>46150</v>
      </c>
      <c r="F540" s="17">
        <v>46160</v>
      </c>
      <c r="G540" t="s">
        <v>390</v>
      </c>
      <c r="H540" t="s">
        <v>27</v>
      </c>
      <c r="I540" t="s">
        <v>94</v>
      </c>
      <c r="J540" s="30">
        <v>-1440</v>
      </c>
      <c r="K540" s="30">
        <v>0</v>
      </c>
      <c r="L540" s="33">
        <v>-2867.2000000000003</v>
      </c>
      <c r="M540" t="s">
        <v>185</v>
      </c>
      <c r="N540" t="s">
        <v>206</v>
      </c>
      <c r="O540" s="34" t="s">
        <v>528</v>
      </c>
      <c r="P540" t="s">
        <v>187</v>
      </c>
      <c r="Q540" t="s">
        <v>23</v>
      </c>
      <c r="R540" t="s">
        <v>23</v>
      </c>
      <c r="S540" t="s">
        <v>25</v>
      </c>
      <c r="T540" t="str">
        <f>_xlfn.XLOOKUP(Tabela14[[#This Row],[Categoria]],CATEGORIAS!$C:$C,CATEGORIAS!$D:$D,"")</f>
        <v>2.1 Despesas Diretas</v>
      </c>
    </row>
    <row r="541" spans="2:20" x14ac:dyDescent="0.25">
      <c r="B541"/>
      <c r="C541"/>
      <c r="D541" s="1">
        <v>46150</v>
      </c>
      <c r="E541" s="1">
        <v>46150</v>
      </c>
      <c r="F541" s="17">
        <v>46118</v>
      </c>
      <c r="G541" t="s">
        <v>184</v>
      </c>
      <c r="H541" t="s">
        <v>27</v>
      </c>
      <c r="I541" t="s">
        <v>91</v>
      </c>
      <c r="J541" s="31">
        <v>-3301.76</v>
      </c>
      <c r="K541" s="31">
        <v>0</v>
      </c>
      <c r="L541" s="33">
        <v>-700</v>
      </c>
      <c r="M541" t="s">
        <v>185</v>
      </c>
      <c r="N541" t="s">
        <v>206</v>
      </c>
      <c r="O541" s="34" t="s">
        <v>529</v>
      </c>
      <c r="P541" t="s">
        <v>187</v>
      </c>
      <c r="Q541" t="s">
        <v>23</v>
      </c>
      <c r="R541" t="s">
        <v>23</v>
      </c>
      <c r="S541" t="s">
        <v>25</v>
      </c>
      <c r="T541" t="str">
        <f>_xlfn.XLOOKUP(Tabela14[[#This Row],[Categoria]],CATEGORIAS!$C:$C,CATEGORIAS!$D:$D,"")</f>
        <v>2.1 Despesas Diretas</v>
      </c>
    </row>
    <row r="542" spans="2:20" x14ac:dyDescent="0.25">
      <c r="B542"/>
      <c r="C542"/>
      <c r="D542" s="1">
        <v>46150</v>
      </c>
      <c r="E542" s="1">
        <v>46150</v>
      </c>
      <c r="F542" s="17">
        <v>46154</v>
      </c>
      <c r="G542" t="s">
        <v>184</v>
      </c>
      <c r="H542" t="s">
        <v>27</v>
      </c>
      <c r="I542" t="s">
        <v>91</v>
      </c>
      <c r="J542" s="31">
        <v>-3301.76</v>
      </c>
      <c r="K542" s="31">
        <v>0</v>
      </c>
      <c r="L542" s="33">
        <v>-3301.76</v>
      </c>
      <c r="M542" t="s">
        <v>185</v>
      </c>
      <c r="N542" t="s">
        <v>206</v>
      </c>
      <c r="O542" s="34" t="s">
        <v>530</v>
      </c>
      <c r="P542" t="s">
        <v>187</v>
      </c>
      <c r="Q542" t="s">
        <v>23</v>
      </c>
      <c r="R542" t="s">
        <v>23</v>
      </c>
      <c r="S542" t="s">
        <v>25</v>
      </c>
      <c r="T542" t="str">
        <f>_xlfn.XLOOKUP(Tabela14[[#This Row],[Categoria]],CATEGORIAS!$C:$C,CATEGORIAS!$D:$D,"")</f>
        <v>2.1 Despesas Diretas</v>
      </c>
    </row>
    <row r="543" spans="2:20" x14ac:dyDescent="0.25">
      <c r="B543"/>
      <c r="C543"/>
      <c r="D543" s="1">
        <v>46136</v>
      </c>
      <c r="E543" s="1">
        <v>46136</v>
      </c>
      <c r="F543" s="17">
        <v>46140</v>
      </c>
      <c r="G543" t="s">
        <v>184</v>
      </c>
      <c r="H543" t="s">
        <v>27</v>
      </c>
      <c r="I543" t="s">
        <v>91</v>
      </c>
      <c r="J543" s="31">
        <v>-3298.24</v>
      </c>
      <c r="K543" s="31">
        <v>0</v>
      </c>
      <c r="L543" s="33">
        <v>-3298.24</v>
      </c>
      <c r="M543" t="s">
        <v>185</v>
      </c>
      <c r="N543" t="s">
        <v>206</v>
      </c>
      <c r="O543" s="34" t="s">
        <v>530</v>
      </c>
      <c r="P543" t="s">
        <v>187</v>
      </c>
      <c r="Q543" t="s">
        <v>23</v>
      </c>
      <c r="R543" t="s">
        <v>23</v>
      </c>
      <c r="S543" t="s">
        <v>25</v>
      </c>
      <c r="T543" t="str">
        <f>_xlfn.XLOOKUP(Tabela14[[#This Row],[Categoria]],CATEGORIAS!$C:$C,CATEGORIAS!$D:$D,"")</f>
        <v>2.1 Despesas Diretas</v>
      </c>
    </row>
    <row r="544" spans="2:20" x14ac:dyDescent="0.25">
      <c r="B544"/>
      <c r="C544"/>
      <c r="D544" s="1">
        <v>46178</v>
      </c>
      <c r="E544" s="1">
        <v>46178</v>
      </c>
      <c r="F544" s="17">
        <v>46182</v>
      </c>
      <c r="G544" t="s">
        <v>184</v>
      </c>
      <c r="H544" t="s">
        <v>27</v>
      </c>
      <c r="I544" t="s">
        <v>91</v>
      </c>
      <c r="J544" s="30">
        <v>-7832</v>
      </c>
      <c r="K544" s="30">
        <v>0</v>
      </c>
      <c r="L544" s="33">
        <v>-7832</v>
      </c>
      <c r="M544" t="s">
        <v>185</v>
      </c>
      <c r="N544" t="s">
        <v>206</v>
      </c>
      <c r="O544" s="34" t="s">
        <v>530</v>
      </c>
      <c r="P544" t="s">
        <v>187</v>
      </c>
      <c r="Q544" t="s">
        <v>23</v>
      </c>
      <c r="R544" t="s">
        <v>23</v>
      </c>
      <c r="S544" t="s">
        <v>25</v>
      </c>
      <c r="T544" t="str">
        <f>_xlfn.XLOOKUP(Tabela14[[#This Row],[Categoria]],CATEGORIAS!$C:$C,CATEGORIAS!$D:$D,"")</f>
        <v>2.1 Despesas Diretas</v>
      </c>
    </row>
    <row r="545" spans="2:20" x14ac:dyDescent="0.25">
      <c r="B545"/>
      <c r="C545"/>
      <c r="D545" s="1">
        <v>46164</v>
      </c>
      <c r="E545" s="1">
        <v>46164</v>
      </c>
      <c r="F545" s="17">
        <v>46168</v>
      </c>
      <c r="G545" t="s">
        <v>184</v>
      </c>
      <c r="H545" t="s">
        <v>27</v>
      </c>
      <c r="I545" t="s">
        <v>91</v>
      </c>
      <c r="J545" s="30">
        <v>-11860.64</v>
      </c>
      <c r="K545" s="30">
        <v>0</v>
      </c>
      <c r="L545" s="33">
        <v>-11860.64</v>
      </c>
      <c r="M545" t="s">
        <v>185</v>
      </c>
      <c r="N545" t="s">
        <v>206</v>
      </c>
      <c r="O545" s="34" t="s">
        <v>530</v>
      </c>
      <c r="P545" t="s">
        <v>187</v>
      </c>
      <c r="Q545" t="s">
        <v>23</v>
      </c>
      <c r="R545" t="s">
        <v>23</v>
      </c>
      <c r="S545" t="s">
        <v>25</v>
      </c>
      <c r="T545" t="str">
        <f>_xlfn.XLOOKUP(Tabela14[[#This Row],[Categoria]],CATEGORIAS!$C:$C,CATEGORIAS!$D:$D,"")</f>
        <v>2.1 Despesas Diretas</v>
      </c>
    </row>
    <row r="546" spans="2:20" x14ac:dyDescent="0.25">
      <c r="B546"/>
      <c r="C546"/>
      <c r="D546" s="1">
        <v>46178</v>
      </c>
      <c r="E546" s="1">
        <v>46178</v>
      </c>
      <c r="F546" s="17">
        <v>46178</v>
      </c>
      <c r="G546" t="s">
        <v>390</v>
      </c>
      <c r="H546" t="s">
        <v>27</v>
      </c>
      <c r="I546" t="s">
        <v>94</v>
      </c>
      <c r="J546" s="30">
        <v>-1440</v>
      </c>
      <c r="K546" s="30">
        <v>0</v>
      </c>
      <c r="L546" s="33">
        <v>-2867.2000000000003</v>
      </c>
      <c r="M546" t="s">
        <v>185</v>
      </c>
      <c r="N546" t="s">
        <v>206</v>
      </c>
      <c r="O546" s="34" t="s">
        <v>528</v>
      </c>
      <c r="P546" t="s">
        <v>187</v>
      </c>
      <c r="Q546" t="s">
        <v>23</v>
      </c>
      <c r="R546" t="s">
        <v>23</v>
      </c>
      <c r="S546" t="s">
        <v>25</v>
      </c>
      <c r="T546" t="str">
        <f>_xlfn.XLOOKUP(Tabela14[[#This Row],[Categoria]],CATEGORIAS!$C:$C,CATEGORIAS!$D:$D,"")</f>
        <v>2.1 Despesas Diretas</v>
      </c>
    </row>
    <row r="547" spans="2:20" x14ac:dyDescent="0.25">
      <c r="B547"/>
      <c r="C547"/>
      <c r="D547" s="1">
        <v>46192</v>
      </c>
      <c r="E547" s="1">
        <v>46192</v>
      </c>
      <c r="F547" s="17">
        <v>46196</v>
      </c>
      <c r="G547" t="s">
        <v>184</v>
      </c>
      <c r="H547" t="s">
        <v>27</v>
      </c>
      <c r="I547" t="s">
        <v>91</v>
      </c>
      <c r="J547" s="30">
        <v>-8907.36</v>
      </c>
      <c r="K547" s="30">
        <v>0</v>
      </c>
      <c r="L547" s="33">
        <v>-8907.36</v>
      </c>
      <c r="M547" t="s">
        <v>185</v>
      </c>
      <c r="N547" t="s">
        <v>206</v>
      </c>
      <c r="O547" s="34" t="s">
        <v>530</v>
      </c>
      <c r="P547" t="s">
        <v>187</v>
      </c>
      <c r="Q547" t="s">
        <v>23</v>
      </c>
      <c r="R547" t="s">
        <v>23</v>
      </c>
      <c r="S547" t="s">
        <v>25</v>
      </c>
      <c r="T547" t="str">
        <f>_xlfn.XLOOKUP(Tabela14[[#This Row],[Categoria]],CATEGORIAS!$C:$C,CATEGORIAS!$D:$D,"")</f>
        <v>2.1 Despesas Diretas</v>
      </c>
    </row>
    <row r="548" spans="2:20" x14ac:dyDescent="0.25">
      <c r="B548"/>
      <c r="C548"/>
      <c r="D548" s="1">
        <v>46150</v>
      </c>
      <c r="E548" s="1">
        <v>46150</v>
      </c>
      <c r="F548" s="40">
        <v>46146</v>
      </c>
      <c r="G548" t="s">
        <v>184</v>
      </c>
      <c r="H548" t="s">
        <v>27</v>
      </c>
      <c r="I548" t="s">
        <v>90</v>
      </c>
      <c r="J548" s="30">
        <v>-1923.15</v>
      </c>
      <c r="K548" s="30">
        <v>0</v>
      </c>
      <c r="L548" s="33">
        <v>-1189.1200000000001</v>
      </c>
      <c r="M548" t="s">
        <v>185</v>
      </c>
      <c r="N548" t="s">
        <v>197</v>
      </c>
      <c r="O548" s="34" t="s">
        <v>531</v>
      </c>
      <c r="P548" t="s">
        <v>187</v>
      </c>
      <c r="Q548" t="s">
        <v>23</v>
      </c>
      <c r="R548" t="s">
        <v>23</v>
      </c>
      <c r="S548" t="s">
        <v>25</v>
      </c>
      <c r="T548" t="str">
        <f>_xlfn.XLOOKUP(Tabela14[[#This Row],[Categoria]],CATEGORIAS!$C:$C,CATEGORIAS!$D:$D,"")</f>
        <v>2.1 Despesas Diretas</v>
      </c>
    </row>
    <row r="549" spans="2:20" x14ac:dyDescent="0.25">
      <c r="B549"/>
      <c r="C549"/>
      <c r="D549" s="1">
        <v>46150</v>
      </c>
      <c r="E549" s="1">
        <v>46150</v>
      </c>
      <c r="F549" s="17">
        <v>46146</v>
      </c>
      <c r="G549" t="s">
        <v>184</v>
      </c>
      <c r="H549" t="s">
        <v>27</v>
      </c>
      <c r="I549" t="s">
        <v>90</v>
      </c>
      <c r="J549" s="30">
        <v>-293.76</v>
      </c>
      <c r="K549" s="30">
        <v>0</v>
      </c>
      <c r="L549" s="33">
        <v>-122.66666666666667</v>
      </c>
      <c r="M549" t="s">
        <v>185</v>
      </c>
      <c r="N549" t="s">
        <v>197</v>
      </c>
      <c r="O549" s="34" t="s">
        <v>532</v>
      </c>
      <c r="P549" t="s">
        <v>187</v>
      </c>
      <c r="Q549" t="s">
        <v>23</v>
      </c>
      <c r="R549" t="s">
        <v>23</v>
      </c>
      <c r="S549" t="s">
        <v>25</v>
      </c>
      <c r="T549" t="str">
        <f>_xlfn.XLOOKUP(Tabela14[[#This Row],[Categoria]],CATEGORIAS!$C:$C,CATEGORIAS!$D:$D,"")</f>
        <v>2.1 Despesas Diretas</v>
      </c>
    </row>
    <row r="550" spans="2:20" x14ac:dyDescent="0.25">
      <c r="B550"/>
      <c r="C550"/>
      <c r="D550" s="1">
        <v>46150</v>
      </c>
      <c r="E550" s="1">
        <v>46150</v>
      </c>
      <c r="F550" s="17">
        <v>46146</v>
      </c>
      <c r="G550" t="s">
        <v>184</v>
      </c>
      <c r="H550" t="s">
        <v>27</v>
      </c>
      <c r="I550" t="s">
        <v>90</v>
      </c>
      <c r="J550" s="30">
        <v>-179.74</v>
      </c>
      <c r="K550" s="30">
        <v>0</v>
      </c>
      <c r="L550" s="33">
        <v>-97.706666666666663</v>
      </c>
      <c r="M550" t="s">
        <v>185</v>
      </c>
      <c r="N550" t="s">
        <v>197</v>
      </c>
      <c r="O550" s="34" t="s">
        <v>533</v>
      </c>
      <c r="P550" t="s">
        <v>187</v>
      </c>
      <c r="Q550" t="s">
        <v>23</v>
      </c>
      <c r="R550" t="s">
        <v>23</v>
      </c>
      <c r="S550" t="s">
        <v>25</v>
      </c>
      <c r="T550" t="str">
        <f>_xlfn.XLOOKUP(Tabela14[[#This Row],[Categoria]],CATEGORIAS!$C:$C,CATEGORIAS!$D:$D,"")</f>
        <v>2.1 Despesas Diretas</v>
      </c>
    </row>
    <row r="551" spans="2:20" x14ac:dyDescent="0.25">
      <c r="B551"/>
      <c r="C551"/>
      <c r="D551" s="1">
        <v>46150</v>
      </c>
      <c r="E551" s="1">
        <v>46150</v>
      </c>
      <c r="F551" s="17">
        <v>46146</v>
      </c>
      <c r="G551" t="s">
        <v>184</v>
      </c>
      <c r="H551" t="s">
        <v>27</v>
      </c>
      <c r="I551" t="s">
        <v>90</v>
      </c>
      <c r="J551" s="30">
        <v>-97.27</v>
      </c>
      <c r="K551" s="30">
        <v>0</v>
      </c>
      <c r="L551" s="33">
        <v>-104</v>
      </c>
      <c r="M551" t="s">
        <v>185</v>
      </c>
      <c r="N551" t="s">
        <v>197</v>
      </c>
      <c r="O551" s="34" t="s">
        <v>534</v>
      </c>
      <c r="P551" t="s">
        <v>187</v>
      </c>
      <c r="Q551" t="s">
        <v>23</v>
      </c>
      <c r="R551" t="s">
        <v>23</v>
      </c>
      <c r="S551" t="s">
        <v>25</v>
      </c>
      <c r="T551" t="str">
        <f>_xlfn.XLOOKUP(Tabela14[[#This Row],[Categoria]],CATEGORIAS!$C:$C,CATEGORIAS!$D:$D,"")</f>
        <v>2.1 Despesas Diretas</v>
      </c>
    </row>
    <row r="552" spans="2:20" x14ac:dyDescent="0.25">
      <c r="B552"/>
      <c r="C552"/>
      <c r="D552" s="1">
        <v>46150</v>
      </c>
      <c r="E552" s="1">
        <v>46150</v>
      </c>
      <c r="F552" s="17">
        <v>46146</v>
      </c>
      <c r="G552" t="s">
        <v>184</v>
      </c>
      <c r="H552" t="s">
        <v>27</v>
      </c>
      <c r="I552" t="s">
        <v>90</v>
      </c>
      <c r="J552" s="30">
        <v>-115.76</v>
      </c>
      <c r="K552" s="30">
        <v>0</v>
      </c>
      <c r="L552" s="33">
        <v>-70.826666666666668</v>
      </c>
      <c r="M552" t="s">
        <v>185</v>
      </c>
      <c r="N552" t="s">
        <v>197</v>
      </c>
      <c r="O552" s="34" t="s">
        <v>535</v>
      </c>
      <c r="P552" t="s">
        <v>187</v>
      </c>
      <c r="Q552" t="s">
        <v>23</v>
      </c>
      <c r="R552" t="s">
        <v>23</v>
      </c>
      <c r="S552" t="s">
        <v>25</v>
      </c>
      <c r="T552" t="str">
        <f>_xlfn.XLOOKUP(Tabela14[[#This Row],[Categoria]],CATEGORIAS!$C:$C,CATEGORIAS!$D:$D,"")</f>
        <v>2.1 Despesas Diretas</v>
      </c>
    </row>
    <row r="553" spans="2:20" x14ac:dyDescent="0.25">
      <c r="B553"/>
      <c r="C553"/>
      <c r="D553" s="1">
        <v>46150</v>
      </c>
      <c r="E553" s="1">
        <v>46150</v>
      </c>
      <c r="F553" s="17">
        <v>46146</v>
      </c>
      <c r="G553" t="s">
        <v>184</v>
      </c>
      <c r="H553" t="s">
        <v>27</v>
      </c>
      <c r="I553" t="s">
        <v>90</v>
      </c>
      <c r="J553" s="30">
        <v>-34.82</v>
      </c>
      <c r="K553" s="30">
        <v>0</v>
      </c>
      <c r="L553" s="33">
        <v>-17.919999999999998</v>
      </c>
      <c r="M553" t="s">
        <v>185</v>
      </c>
      <c r="N553" t="s">
        <v>197</v>
      </c>
      <c r="O553" s="34" t="s">
        <v>536</v>
      </c>
      <c r="P553" t="s">
        <v>187</v>
      </c>
      <c r="Q553" t="s">
        <v>23</v>
      </c>
      <c r="R553" t="s">
        <v>23</v>
      </c>
      <c r="S553" t="s">
        <v>25</v>
      </c>
      <c r="T553" t="str">
        <f>_xlfn.XLOOKUP(Tabela14[[#This Row],[Categoria]],CATEGORIAS!$C:$C,CATEGORIAS!$D:$D,"")</f>
        <v>2.1 Despesas Diretas</v>
      </c>
    </row>
    <row r="554" spans="2:20" x14ac:dyDescent="0.25">
      <c r="B554"/>
      <c r="C554"/>
      <c r="D554" s="1">
        <v>46150</v>
      </c>
      <c r="E554" s="1">
        <v>46150</v>
      </c>
      <c r="F554" s="17">
        <v>46146</v>
      </c>
      <c r="G554" t="s">
        <v>184</v>
      </c>
      <c r="H554" t="s">
        <v>27</v>
      </c>
      <c r="I554" t="s">
        <v>90</v>
      </c>
      <c r="J554" s="31">
        <v>-500.48</v>
      </c>
      <c r="K554" s="30">
        <v>0</v>
      </c>
      <c r="L554" s="33">
        <v>-119.33333333333333</v>
      </c>
      <c r="M554" t="s">
        <v>185</v>
      </c>
      <c r="N554" t="s">
        <v>197</v>
      </c>
      <c r="O554" s="34" t="s">
        <v>537</v>
      </c>
      <c r="P554" t="s">
        <v>187</v>
      </c>
      <c r="Q554" t="s">
        <v>23</v>
      </c>
      <c r="R554" t="s">
        <v>23</v>
      </c>
      <c r="S554" t="s">
        <v>25</v>
      </c>
      <c r="T554" t="str">
        <f>_xlfn.XLOOKUP(Tabela14[[#This Row],[Categoria]],CATEGORIAS!$C:$C,CATEGORIAS!$D:$D,"")</f>
        <v>2.1 Despesas Diretas</v>
      </c>
    </row>
    <row r="555" spans="2:20" x14ac:dyDescent="0.25">
      <c r="B555"/>
      <c r="C555"/>
      <c r="D555" s="1">
        <v>46150</v>
      </c>
      <c r="E555" s="1">
        <v>46150</v>
      </c>
      <c r="F555" s="17">
        <v>46146</v>
      </c>
      <c r="G555" t="s">
        <v>184</v>
      </c>
      <c r="H555" t="s">
        <v>27</v>
      </c>
      <c r="I555" t="s">
        <v>90</v>
      </c>
      <c r="J555" s="31">
        <v>-652.79999999999995</v>
      </c>
      <c r="K555" s="31">
        <v>0</v>
      </c>
      <c r="L555" s="33">
        <v>-233.6</v>
      </c>
      <c r="M555" t="s">
        <v>185</v>
      </c>
      <c r="N555" t="s">
        <v>197</v>
      </c>
      <c r="O555" s="34" t="s">
        <v>538</v>
      </c>
      <c r="P555" t="s">
        <v>187</v>
      </c>
      <c r="Q555" t="s">
        <v>23</v>
      </c>
      <c r="R555" t="s">
        <v>23</v>
      </c>
      <c r="S555" t="s">
        <v>25</v>
      </c>
      <c r="T555" t="str">
        <f>_xlfn.XLOOKUP(Tabela14[[#This Row],[Categoria]],CATEGORIAS!$C:$C,CATEGORIAS!$D:$D,"")</f>
        <v>2.1 Despesas Diretas</v>
      </c>
    </row>
    <row r="556" spans="2:20" x14ac:dyDescent="0.25">
      <c r="B556"/>
      <c r="C556"/>
      <c r="D556" s="1">
        <v>46136</v>
      </c>
      <c r="E556" s="1">
        <v>46136</v>
      </c>
      <c r="F556" s="17">
        <v>46140</v>
      </c>
      <c r="G556" t="s">
        <v>184</v>
      </c>
      <c r="H556" t="s">
        <v>27</v>
      </c>
      <c r="I556" t="s">
        <v>91</v>
      </c>
      <c r="J556" s="30">
        <v>-4797.4399999999996</v>
      </c>
      <c r="K556" s="30">
        <v>0</v>
      </c>
      <c r="L556" s="33">
        <v>-4797.4399999999996</v>
      </c>
      <c r="M556" t="s">
        <v>185</v>
      </c>
      <c r="N556" t="s">
        <v>197</v>
      </c>
      <c r="O556" s="34" t="s">
        <v>539</v>
      </c>
      <c r="P556" t="s">
        <v>187</v>
      </c>
      <c r="Q556" t="s">
        <v>23</v>
      </c>
      <c r="R556" t="s">
        <v>23</v>
      </c>
      <c r="S556" t="s">
        <v>25</v>
      </c>
      <c r="T556" t="str">
        <f>_xlfn.XLOOKUP(Tabela14[[#This Row],[Categoria]],CATEGORIAS!$C:$C,CATEGORIAS!$D:$D,"")</f>
        <v>2.1 Despesas Diretas</v>
      </c>
    </row>
    <row r="557" spans="2:20" x14ac:dyDescent="0.25">
      <c r="B557"/>
      <c r="C557"/>
      <c r="D557" s="1">
        <v>46150</v>
      </c>
      <c r="E557" s="1">
        <v>46150</v>
      </c>
      <c r="F557" s="17">
        <v>46146</v>
      </c>
      <c r="G557" t="s">
        <v>184</v>
      </c>
      <c r="H557" t="s">
        <v>27</v>
      </c>
      <c r="I557" t="s">
        <v>90</v>
      </c>
      <c r="J557" s="30">
        <v>-572.07000000000005</v>
      </c>
      <c r="K557" s="30">
        <v>0</v>
      </c>
      <c r="L557" s="33">
        <v>-174.29333333333332</v>
      </c>
      <c r="M557" t="s">
        <v>185</v>
      </c>
      <c r="N557" t="s">
        <v>197</v>
      </c>
      <c r="O557" s="34" t="s">
        <v>540</v>
      </c>
      <c r="P557" t="s">
        <v>187</v>
      </c>
      <c r="Q557" t="s">
        <v>23</v>
      </c>
      <c r="R557" t="s">
        <v>23</v>
      </c>
      <c r="S557" t="s">
        <v>25</v>
      </c>
      <c r="T557" t="str">
        <f>_xlfn.XLOOKUP(Tabela14[[#This Row],[Categoria]],CATEGORIAS!$C:$C,CATEGORIAS!$D:$D,"")</f>
        <v>2.1 Despesas Diretas</v>
      </c>
    </row>
    <row r="558" spans="2:20" x14ac:dyDescent="0.25">
      <c r="B558"/>
      <c r="C558"/>
      <c r="D558" s="1">
        <v>46150</v>
      </c>
      <c r="E558" s="1">
        <v>46150</v>
      </c>
      <c r="F558" s="40">
        <v>46146</v>
      </c>
      <c r="G558" t="s">
        <v>184</v>
      </c>
      <c r="H558" t="s">
        <v>27</v>
      </c>
      <c r="I558" t="s">
        <v>90</v>
      </c>
      <c r="J558" s="31">
        <v>-1640.7</v>
      </c>
      <c r="K558" s="31">
        <v>0</v>
      </c>
      <c r="L558" s="33">
        <v>-465.92</v>
      </c>
      <c r="M558" t="s">
        <v>185</v>
      </c>
      <c r="N558" t="s">
        <v>197</v>
      </c>
      <c r="O558" s="34" t="s">
        <v>541</v>
      </c>
      <c r="P558" t="s">
        <v>187</v>
      </c>
      <c r="Q558" t="s">
        <v>23</v>
      </c>
      <c r="R558" t="s">
        <v>23</v>
      </c>
      <c r="S558" t="s">
        <v>25</v>
      </c>
      <c r="T558" t="str">
        <f>_xlfn.XLOOKUP(Tabela14[[#This Row],[Categoria]],CATEGORIAS!$C:$C,CATEGORIAS!$D:$D,"")</f>
        <v>2.1 Despesas Diretas</v>
      </c>
    </row>
    <row r="559" spans="2:20" x14ac:dyDescent="0.25">
      <c r="B559"/>
      <c r="C559"/>
      <c r="D559" s="1">
        <v>46150</v>
      </c>
      <c r="E559" s="1">
        <v>46150</v>
      </c>
      <c r="F559" s="17">
        <v>46154</v>
      </c>
      <c r="G559" t="s">
        <v>184</v>
      </c>
      <c r="H559" t="s">
        <v>27</v>
      </c>
      <c r="I559" t="s">
        <v>91</v>
      </c>
      <c r="J559" s="31">
        <v>-4802.5600000000004</v>
      </c>
      <c r="K559" s="31">
        <v>0</v>
      </c>
      <c r="L559" s="33">
        <v>-4802.5600000000004</v>
      </c>
      <c r="M559" t="s">
        <v>185</v>
      </c>
      <c r="N559" t="s">
        <v>197</v>
      </c>
      <c r="O559" s="34" t="s">
        <v>539</v>
      </c>
      <c r="P559" t="s">
        <v>187</v>
      </c>
      <c r="Q559" t="s">
        <v>23</v>
      </c>
      <c r="R559" t="s">
        <v>23</v>
      </c>
      <c r="S559" t="s">
        <v>25</v>
      </c>
      <c r="T559" t="str">
        <f>_xlfn.XLOOKUP(Tabela14[[#This Row],[Categoria]],CATEGORIAS!$C:$C,CATEGORIAS!$D:$D,"")</f>
        <v>2.1 Despesas Diretas</v>
      </c>
    </row>
    <row r="560" spans="2:20" x14ac:dyDescent="0.25">
      <c r="B560"/>
      <c r="C560"/>
      <c r="D560" s="1">
        <v>46150</v>
      </c>
      <c r="E560" s="1">
        <v>46150</v>
      </c>
      <c r="F560" s="40">
        <v>46146</v>
      </c>
      <c r="G560" t="s">
        <v>184</v>
      </c>
      <c r="H560" t="s">
        <v>27</v>
      </c>
      <c r="I560" t="s">
        <v>90</v>
      </c>
      <c r="J560" s="30">
        <v>-5220.22</v>
      </c>
      <c r="K560" s="30">
        <v>0</v>
      </c>
      <c r="L560" s="33">
        <v>-4653.8666666666668</v>
      </c>
      <c r="M560" t="s">
        <v>185</v>
      </c>
      <c r="N560" t="s">
        <v>197</v>
      </c>
      <c r="O560" s="34" t="s">
        <v>542</v>
      </c>
      <c r="P560" t="s">
        <v>187</v>
      </c>
      <c r="Q560" t="s">
        <v>23</v>
      </c>
      <c r="R560" t="s">
        <v>23</v>
      </c>
      <c r="S560" t="s">
        <v>25</v>
      </c>
      <c r="T560" t="str">
        <f>_xlfn.XLOOKUP(Tabela14[[#This Row],[Categoria]],CATEGORIAS!$C:$C,CATEGORIAS!$D:$D,"")</f>
        <v>2.1 Despesas Diretas</v>
      </c>
    </row>
    <row r="561" spans="2:20" x14ac:dyDescent="0.25">
      <c r="B561"/>
      <c r="C561"/>
      <c r="D561" s="1">
        <v>46150</v>
      </c>
      <c r="E561" s="1">
        <v>46150</v>
      </c>
      <c r="F561" s="38">
        <v>46146</v>
      </c>
      <c r="G561" t="s">
        <v>184</v>
      </c>
      <c r="H561" t="s">
        <v>27</v>
      </c>
      <c r="I561" t="s">
        <v>90</v>
      </c>
      <c r="J561" s="30">
        <v>-71.16</v>
      </c>
      <c r="K561" s="30">
        <v>0</v>
      </c>
      <c r="L561" s="33">
        <v>-56.96</v>
      </c>
      <c r="M561" t="s">
        <v>185</v>
      </c>
      <c r="N561" t="s">
        <v>197</v>
      </c>
      <c r="O561" s="34" t="s">
        <v>543</v>
      </c>
      <c r="P561" t="s">
        <v>187</v>
      </c>
      <c r="Q561" t="s">
        <v>23</v>
      </c>
      <c r="R561" t="s">
        <v>23</v>
      </c>
      <c r="S561" t="s">
        <v>25</v>
      </c>
      <c r="T561" t="str">
        <f>_xlfn.XLOOKUP(Tabela14[[#This Row],[Categoria]],CATEGORIAS!$C:$C,CATEGORIAS!$D:$D,"")</f>
        <v>2.1 Despesas Diretas</v>
      </c>
    </row>
    <row r="562" spans="2:20" x14ac:dyDescent="0.25">
      <c r="B562"/>
      <c r="C562"/>
      <c r="D562" s="1">
        <v>46150</v>
      </c>
      <c r="E562" s="1">
        <v>46150</v>
      </c>
      <c r="F562" s="17">
        <v>46146</v>
      </c>
      <c r="G562" t="s">
        <v>184</v>
      </c>
      <c r="H562" t="s">
        <v>27</v>
      </c>
      <c r="I562" t="s">
        <v>90</v>
      </c>
      <c r="J562" s="31">
        <v>-139.26</v>
      </c>
      <c r="K562" s="31">
        <v>0</v>
      </c>
      <c r="L562" s="33">
        <v>-48.639999999999993</v>
      </c>
      <c r="M562" t="s">
        <v>185</v>
      </c>
      <c r="N562" t="s">
        <v>197</v>
      </c>
      <c r="O562" s="34" t="s">
        <v>544</v>
      </c>
      <c r="P562" t="s">
        <v>187</v>
      </c>
      <c r="Q562" t="s">
        <v>23</v>
      </c>
      <c r="R562" t="s">
        <v>23</v>
      </c>
      <c r="S562" t="s">
        <v>25</v>
      </c>
      <c r="T562" t="str">
        <f>_xlfn.XLOOKUP(Tabela14[[#This Row],[Categoria]],CATEGORIAS!$C:$C,CATEGORIAS!$D:$D,"")</f>
        <v>2.1 Despesas Diretas</v>
      </c>
    </row>
    <row r="563" spans="2:20" x14ac:dyDescent="0.25">
      <c r="B563"/>
      <c r="C563"/>
      <c r="D563" s="1">
        <v>46150</v>
      </c>
      <c r="E563" s="1">
        <v>46150</v>
      </c>
      <c r="F563" s="17">
        <v>46146</v>
      </c>
      <c r="G563" t="s">
        <v>184</v>
      </c>
      <c r="H563" t="s">
        <v>27</v>
      </c>
      <c r="I563" t="s">
        <v>90</v>
      </c>
      <c r="J563" s="30">
        <v>-104.45</v>
      </c>
      <c r="K563" s="30">
        <v>0</v>
      </c>
      <c r="L563" s="33">
        <v>-55.04</v>
      </c>
      <c r="M563" t="s">
        <v>185</v>
      </c>
      <c r="N563" t="s">
        <v>197</v>
      </c>
      <c r="O563" s="34" t="s">
        <v>545</v>
      </c>
      <c r="P563" t="s">
        <v>187</v>
      </c>
      <c r="Q563" t="s">
        <v>23</v>
      </c>
      <c r="R563" t="s">
        <v>23</v>
      </c>
      <c r="S563" t="s">
        <v>25</v>
      </c>
      <c r="T563" t="str">
        <f>_xlfn.XLOOKUP(Tabela14[[#This Row],[Categoria]],CATEGORIAS!$C:$C,CATEGORIAS!$D:$D,"")</f>
        <v>2.1 Despesas Diretas</v>
      </c>
    </row>
    <row r="564" spans="2:20" x14ac:dyDescent="0.25">
      <c r="B564"/>
      <c r="C564"/>
      <c r="D564" s="1">
        <v>46150</v>
      </c>
      <c r="E564" s="1">
        <v>46150</v>
      </c>
      <c r="F564" s="40">
        <v>46146</v>
      </c>
      <c r="G564" t="s">
        <v>184</v>
      </c>
      <c r="H564" t="s">
        <v>27</v>
      </c>
      <c r="I564" t="s">
        <v>90</v>
      </c>
      <c r="J564" s="30">
        <v>-879.19</v>
      </c>
      <c r="K564" s="30">
        <v>0</v>
      </c>
      <c r="L564" s="33">
        <v>-556.95359999999994</v>
      </c>
      <c r="M564" t="s">
        <v>185</v>
      </c>
      <c r="N564" t="s">
        <v>197</v>
      </c>
      <c r="O564" s="34" t="s">
        <v>546</v>
      </c>
      <c r="P564" t="s">
        <v>187</v>
      </c>
      <c r="Q564" t="s">
        <v>23</v>
      </c>
      <c r="R564" t="s">
        <v>23</v>
      </c>
      <c r="S564" t="s">
        <v>25</v>
      </c>
      <c r="T564" t="str">
        <f>_xlfn.XLOOKUP(Tabela14[[#This Row],[Categoria]],CATEGORIAS!$C:$C,CATEGORIAS!$D:$D,"")</f>
        <v>2.1 Despesas Diretas</v>
      </c>
    </row>
    <row r="565" spans="2:20" x14ac:dyDescent="0.25">
      <c r="B565"/>
      <c r="C565"/>
      <c r="D565" s="1">
        <v>46178</v>
      </c>
      <c r="E565" s="1">
        <v>46178</v>
      </c>
      <c r="F565" s="17">
        <v>46174</v>
      </c>
      <c r="G565" t="s">
        <v>184</v>
      </c>
      <c r="H565" t="s">
        <v>27</v>
      </c>
      <c r="I565" t="s">
        <v>90</v>
      </c>
      <c r="J565" s="30">
        <v>-633.6</v>
      </c>
      <c r="K565" s="30">
        <v>0</v>
      </c>
      <c r="L565" s="33">
        <v>-233.6</v>
      </c>
      <c r="M565" t="s">
        <v>185</v>
      </c>
      <c r="N565" t="s">
        <v>197</v>
      </c>
      <c r="O565" s="34" t="s">
        <v>538</v>
      </c>
      <c r="P565" t="s">
        <v>187</v>
      </c>
      <c r="Q565" t="s">
        <v>23</v>
      </c>
      <c r="R565" t="s">
        <v>23</v>
      </c>
      <c r="S565" t="s">
        <v>25</v>
      </c>
      <c r="T565" t="str">
        <f>_xlfn.XLOOKUP(Tabela14[[#This Row],[Categoria]],CATEGORIAS!$C:$C,CATEGORIAS!$D:$D,"")</f>
        <v>2.1 Despesas Diretas</v>
      </c>
    </row>
    <row r="566" spans="2:20" x14ac:dyDescent="0.25">
      <c r="B566"/>
      <c r="C566"/>
      <c r="D566" s="1">
        <v>46178</v>
      </c>
      <c r="E566" s="1">
        <v>46178</v>
      </c>
      <c r="F566" s="17">
        <v>46174</v>
      </c>
      <c r="G566" t="s">
        <v>184</v>
      </c>
      <c r="H566" t="s">
        <v>27</v>
      </c>
      <c r="I566" t="s">
        <v>90</v>
      </c>
      <c r="J566" s="30">
        <v>-135.16999999999999</v>
      </c>
      <c r="K566" s="30">
        <v>0</v>
      </c>
      <c r="L566" s="33">
        <v>-48.639999999999993</v>
      </c>
      <c r="M566" t="s">
        <v>185</v>
      </c>
      <c r="N566" t="s">
        <v>197</v>
      </c>
      <c r="O566" s="34" t="s">
        <v>544</v>
      </c>
      <c r="P566" t="s">
        <v>187</v>
      </c>
      <c r="Q566" t="s">
        <v>23</v>
      </c>
      <c r="R566" t="s">
        <v>23</v>
      </c>
      <c r="S566" t="s">
        <v>25</v>
      </c>
      <c r="T566" t="str">
        <f>_xlfn.XLOOKUP(Tabela14[[#This Row],[Categoria]],CATEGORIAS!$C:$C,CATEGORIAS!$D:$D,"")</f>
        <v>2.1 Despesas Diretas</v>
      </c>
    </row>
    <row r="567" spans="2:20" x14ac:dyDescent="0.25">
      <c r="B567"/>
      <c r="C567"/>
      <c r="D567" s="1">
        <v>46178</v>
      </c>
      <c r="E567" s="1">
        <v>46178</v>
      </c>
      <c r="F567" s="41">
        <v>46174</v>
      </c>
      <c r="G567" t="s">
        <v>184</v>
      </c>
      <c r="H567" t="s">
        <v>27</v>
      </c>
      <c r="I567" t="s">
        <v>90</v>
      </c>
      <c r="J567" s="30">
        <v>-5066.6899999999996</v>
      </c>
      <c r="K567" s="30">
        <v>0</v>
      </c>
      <c r="L567" s="33">
        <v>-4653.8666666666668</v>
      </c>
      <c r="M567" t="s">
        <v>185</v>
      </c>
      <c r="N567" t="s">
        <v>197</v>
      </c>
      <c r="O567" s="34" t="s">
        <v>542</v>
      </c>
      <c r="P567" t="s">
        <v>187</v>
      </c>
      <c r="Q567" t="s">
        <v>23</v>
      </c>
      <c r="R567" t="s">
        <v>23</v>
      </c>
      <c r="S567" t="s">
        <v>25</v>
      </c>
      <c r="T567" t="str">
        <f>_xlfn.XLOOKUP(Tabela14[[#This Row],[Categoria]],CATEGORIAS!$C:$C,CATEGORIAS!$D:$D,"")</f>
        <v>2.1 Despesas Diretas</v>
      </c>
    </row>
    <row r="568" spans="2:20" x14ac:dyDescent="0.25">
      <c r="B568"/>
      <c r="C568"/>
      <c r="D568" s="1">
        <v>46178</v>
      </c>
      <c r="E568" s="1">
        <v>46178</v>
      </c>
      <c r="F568" s="41">
        <v>46174</v>
      </c>
      <c r="G568" t="s">
        <v>184</v>
      </c>
      <c r="H568" t="s">
        <v>27</v>
      </c>
      <c r="I568" t="s">
        <v>90</v>
      </c>
      <c r="J568" s="30">
        <v>-1866.59</v>
      </c>
      <c r="K568" s="30">
        <v>0</v>
      </c>
      <c r="L568" s="33">
        <v>-1189.1200000000001</v>
      </c>
      <c r="M568" t="s">
        <v>185</v>
      </c>
      <c r="N568" t="s">
        <v>197</v>
      </c>
      <c r="O568" s="34" t="s">
        <v>531</v>
      </c>
      <c r="P568" t="s">
        <v>187</v>
      </c>
      <c r="Q568" t="s">
        <v>23</v>
      </c>
      <c r="R568" t="s">
        <v>23</v>
      </c>
      <c r="S568" t="s">
        <v>25</v>
      </c>
      <c r="T568" t="str">
        <f>_xlfn.XLOOKUP(Tabela14[[#This Row],[Categoria]],CATEGORIAS!$C:$C,CATEGORIAS!$D:$D,"")</f>
        <v>2.1 Despesas Diretas</v>
      </c>
    </row>
    <row r="569" spans="2:20" x14ac:dyDescent="0.25">
      <c r="B569"/>
      <c r="C569"/>
      <c r="D569" s="1">
        <v>46178</v>
      </c>
      <c r="E569" s="1">
        <v>46178</v>
      </c>
      <c r="F569" s="17">
        <v>46174</v>
      </c>
      <c r="G569" t="s">
        <v>184</v>
      </c>
      <c r="H569" t="s">
        <v>27</v>
      </c>
      <c r="I569" t="s">
        <v>90</v>
      </c>
      <c r="J569" s="31">
        <v>-33.79</v>
      </c>
      <c r="K569" s="31">
        <v>0</v>
      </c>
      <c r="L569" s="33">
        <v>-17.919999999999998</v>
      </c>
      <c r="M569" t="s">
        <v>185</v>
      </c>
      <c r="N569" t="s">
        <v>197</v>
      </c>
      <c r="O569" s="34" t="s">
        <v>536</v>
      </c>
      <c r="P569" t="s">
        <v>187</v>
      </c>
      <c r="Q569" t="s">
        <v>23</v>
      </c>
      <c r="R569" t="s">
        <v>23</v>
      </c>
      <c r="S569" t="s">
        <v>25</v>
      </c>
      <c r="T569" t="str">
        <f>_xlfn.XLOOKUP(Tabela14[[#This Row],[Categoria]],CATEGORIAS!$C:$C,CATEGORIAS!$D:$D,"")</f>
        <v>2.1 Despesas Diretas</v>
      </c>
    </row>
    <row r="570" spans="2:20" x14ac:dyDescent="0.25">
      <c r="B570"/>
      <c r="C570"/>
      <c r="D570" s="1">
        <v>46178</v>
      </c>
      <c r="E570" s="1">
        <v>46178</v>
      </c>
      <c r="F570" s="17">
        <v>46182</v>
      </c>
      <c r="G570" t="s">
        <v>184</v>
      </c>
      <c r="H570" t="s">
        <v>27</v>
      </c>
      <c r="I570" t="s">
        <v>91</v>
      </c>
      <c r="J570" s="30">
        <v>-11392</v>
      </c>
      <c r="K570" s="30">
        <v>0</v>
      </c>
      <c r="L570" s="33">
        <v>-11392</v>
      </c>
      <c r="M570" t="s">
        <v>185</v>
      </c>
      <c r="N570" t="s">
        <v>197</v>
      </c>
      <c r="O570" s="34" t="s">
        <v>539</v>
      </c>
      <c r="P570" t="s">
        <v>187</v>
      </c>
      <c r="Q570" t="s">
        <v>23</v>
      </c>
      <c r="R570" t="s">
        <v>23</v>
      </c>
      <c r="S570" t="s">
        <v>25</v>
      </c>
      <c r="T570" t="str">
        <f>_xlfn.XLOOKUP(Tabela14[[#This Row],[Categoria]],CATEGORIAS!$C:$C,CATEGORIAS!$D:$D,"")</f>
        <v>2.1 Despesas Diretas</v>
      </c>
    </row>
    <row r="571" spans="2:20" x14ac:dyDescent="0.25">
      <c r="B571"/>
      <c r="C571"/>
      <c r="D571" s="1">
        <v>46178</v>
      </c>
      <c r="E571" s="1">
        <v>46178</v>
      </c>
      <c r="F571" s="17">
        <v>46174</v>
      </c>
      <c r="G571" t="s">
        <v>184</v>
      </c>
      <c r="H571" t="s">
        <v>27</v>
      </c>
      <c r="I571" t="s">
        <v>90</v>
      </c>
      <c r="J571" s="30">
        <v>-485.76</v>
      </c>
      <c r="K571" s="30">
        <v>0</v>
      </c>
      <c r="L571" s="33">
        <v>-119.33333333333333</v>
      </c>
      <c r="M571" t="s">
        <v>185</v>
      </c>
      <c r="N571" t="s">
        <v>197</v>
      </c>
      <c r="O571" s="34" t="s">
        <v>537</v>
      </c>
      <c r="P571" t="s">
        <v>187</v>
      </c>
      <c r="Q571" t="s">
        <v>23</v>
      </c>
      <c r="R571" t="s">
        <v>23</v>
      </c>
      <c r="S571" t="s">
        <v>25</v>
      </c>
      <c r="T571" t="str">
        <f>_xlfn.XLOOKUP(Tabela14[[#This Row],[Categoria]],CATEGORIAS!$C:$C,CATEGORIAS!$D:$D,"")</f>
        <v>2.1 Despesas Diretas</v>
      </c>
    </row>
    <row r="572" spans="2:20" x14ac:dyDescent="0.25">
      <c r="B572"/>
      <c r="C572"/>
      <c r="D572" s="1">
        <v>46178</v>
      </c>
      <c r="E572" s="1">
        <v>46178</v>
      </c>
      <c r="F572" s="17">
        <v>46174</v>
      </c>
      <c r="G572" t="s">
        <v>184</v>
      </c>
      <c r="H572" t="s">
        <v>27</v>
      </c>
      <c r="I572" t="s">
        <v>90</v>
      </c>
      <c r="J572" s="30">
        <v>-112.36</v>
      </c>
      <c r="K572" s="30">
        <v>0</v>
      </c>
      <c r="L572" s="33">
        <v>-70.826666666666668</v>
      </c>
      <c r="M572" t="s">
        <v>185</v>
      </c>
      <c r="N572" t="s">
        <v>197</v>
      </c>
      <c r="O572" s="34" t="s">
        <v>535</v>
      </c>
      <c r="P572" t="s">
        <v>187</v>
      </c>
      <c r="Q572" t="s">
        <v>23</v>
      </c>
      <c r="R572" t="s">
        <v>23</v>
      </c>
      <c r="S572" t="s">
        <v>25</v>
      </c>
      <c r="T572" t="str">
        <f>_xlfn.XLOOKUP(Tabela14[[#This Row],[Categoria]],CATEGORIAS!$C:$C,CATEGORIAS!$D:$D,"")</f>
        <v>2.1 Despesas Diretas</v>
      </c>
    </row>
    <row r="573" spans="2:20" x14ac:dyDescent="0.25">
      <c r="B573"/>
      <c r="C573"/>
      <c r="D573" s="1">
        <v>46178</v>
      </c>
      <c r="E573" s="1">
        <v>46178</v>
      </c>
      <c r="F573" s="17">
        <v>46174</v>
      </c>
      <c r="G573" t="s">
        <v>184</v>
      </c>
      <c r="H573" t="s">
        <v>27</v>
      </c>
      <c r="I573" t="s">
        <v>90</v>
      </c>
      <c r="J573" s="30">
        <v>-285.12</v>
      </c>
      <c r="K573" s="30">
        <v>0</v>
      </c>
      <c r="L573" s="33">
        <v>-122.66666666666667</v>
      </c>
      <c r="M573" t="s">
        <v>185</v>
      </c>
      <c r="N573" t="s">
        <v>197</v>
      </c>
      <c r="O573" s="34" t="s">
        <v>532</v>
      </c>
      <c r="P573" t="s">
        <v>187</v>
      </c>
      <c r="Q573" t="s">
        <v>23</v>
      </c>
      <c r="R573" t="s">
        <v>23</v>
      </c>
      <c r="S573" t="s">
        <v>25</v>
      </c>
      <c r="T573" t="str">
        <f>_xlfn.XLOOKUP(Tabela14[[#This Row],[Categoria]],CATEGORIAS!$C:$C,CATEGORIAS!$D:$D,"")</f>
        <v>2.1 Despesas Diretas</v>
      </c>
    </row>
    <row r="574" spans="2:20" x14ac:dyDescent="0.25">
      <c r="B574"/>
      <c r="C574"/>
      <c r="D574" s="1">
        <v>46178</v>
      </c>
      <c r="E574" s="1">
        <v>46178</v>
      </c>
      <c r="F574" s="17">
        <v>46174</v>
      </c>
      <c r="G574" t="s">
        <v>184</v>
      </c>
      <c r="H574" t="s">
        <v>27</v>
      </c>
      <c r="I574" t="s">
        <v>90</v>
      </c>
      <c r="J574" s="30">
        <v>-174.45</v>
      </c>
      <c r="K574" s="30">
        <v>0</v>
      </c>
      <c r="L574" s="33">
        <v>-97.706666666666663</v>
      </c>
      <c r="M574" t="s">
        <v>185</v>
      </c>
      <c r="N574" t="s">
        <v>197</v>
      </c>
      <c r="O574" s="34" t="s">
        <v>533</v>
      </c>
      <c r="P574" t="s">
        <v>187</v>
      </c>
      <c r="Q574" t="s">
        <v>23</v>
      </c>
      <c r="R574" t="s">
        <v>23</v>
      </c>
      <c r="S574" t="s">
        <v>25</v>
      </c>
      <c r="T574" t="str">
        <f>_xlfn.XLOOKUP(Tabela14[[#This Row],[Categoria]],CATEGORIAS!$C:$C,CATEGORIAS!$D:$D,"")</f>
        <v>2.1 Despesas Diretas</v>
      </c>
    </row>
    <row r="575" spans="2:20" x14ac:dyDescent="0.25">
      <c r="B575"/>
      <c r="C575"/>
      <c r="D575" s="1">
        <v>46178</v>
      </c>
      <c r="E575" s="1">
        <v>46178</v>
      </c>
      <c r="F575" s="41">
        <v>46174</v>
      </c>
      <c r="G575" t="s">
        <v>184</v>
      </c>
      <c r="H575" t="s">
        <v>27</v>
      </c>
      <c r="I575" t="s">
        <v>90</v>
      </c>
      <c r="J575" s="30">
        <v>-853.33</v>
      </c>
      <c r="K575" s="30">
        <v>0</v>
      </c>
      <c r="L575" s="33">
        <v>-556.95359999999994</v>
      </c>
      <c r="M575" t="s">
        <v>185</v>
      </c>
      <c r="N575" t="s">
        <v>197</v>
      </c>
      <c r="O575" s="34" t="s">
        <v>546</v>
      </c>
      <c r="P575" t="s">
        <v>187</v>
      </c>
      <c r="Q575" t="s">
        <v>23</v>
      </c>
      <c r="R575" t="s">
        <v>23</v>
      </c>
      <c r="S575" t="s">
        <v>25</v>
      </c>
      <c r="T575" t="str">
        <f>_xlfn.XLOOKUP(Tabela14[[#This Row],[Categoria]],CATEGORIAS!$C:$C,CATEGORIAS!$D:$D,"")</f>
        <v>2.1 Despesas Diretas</v>
      </c>
    </row>
    <row r="576" spans="2:20" x14ac:dyDescent="0.25">
      <c r="B576"/>
      <c r="C576"/>
      <c r="D576" s="1">
        <v>46178</v>
      </c>
      <c r="E576" s="1">
        <v>46178</v>
      </c>
      <c r="F576" s="17">
        <v>46174</v>
      </c>
      <c r="G576" t="s">
        <v>184</v>
      </c>
      <c r="H576" t="s">
        <v>27</v>
      </c>
      <c r="I576" t="s">
        <v>90</v>
      </c>
      <c r="J576" s="30">
        <v>-555.24</v>
      </c>
      <c r="K576" s="30">
        <v>0</v>
      </c>
      <c r="L576" s="33">
        <v>-174.29333333333332</v>
      </c>
      <c r="M576" t="s">
        <v>185</v>
      </c>
      <c r="N576" t="s">
        <v>197</v>
      </c>
      <c r="O576" s="34" t="s">
        <v>540</v>
      </c>
      <c r="P576" t="s">
        <v>187</v>
      </c>
      <c r="Q576" t="s">
        <v>23</v>
      </c>
      <c r="R576" t="s">
        <v>23</v>
      </c>
      <c r="S576" t="s">
        <v>25</v>
      </c>
      <c r="T576" t="str">
        <f>_xlfn.XLOOKUP(Tabela14[[#This Row],[Categoria]],CATEGORIAS!$C:$C,CATEGORIAS!$D:$D,"")</f>
        <v>2.1 Despesas Diretas</v>
      </c>
    </row>
    <row r="577" spans="2:20" x14ac:dyDescent="0.25">
      <c r="B577"/>
      <c r="C577"/>
      <c r="D577" s="1">
        <v>46178</v>
      </c>
      <c r="E577" s="1">
        <v>46178</v>
      </c>
      <c r="F577" s="17">
        <v>46174</v>
      </c>
      <c r="G577" t="s">
        <v>184</v>
      </c>
      <c r="H577" t="s">
        <v>27</v>
      </c>
      <c r="I577" t="s">
        <v>90</v>
      </c>
      <c r="J577" s="30">
        <v>-94.41</v>
      </c>
      <c r="K577" s="30">
        <v>0</v>
      </c>
      <c r="L577" s="33">
        <v>-104</v>
      </c>
      <c r="M577" t="s">
        <v>185</v>
      </c>
      <c r="N577" t="s">
        <v>197</v>
      </c>
      <c r="O577" s="34" t="s">
        <v>534</v>
      </c>
      <c r="P577" t="s">
        <v>187</v>
      </c>
      <c r="Q577" t="s">
        <v>23</v>
      </c>
      <c r="R577" t="s">
        <v>23</v>
      </c>
      <c r="S577" t="s">
        <v>25</v>
      </c>
      <c r="T577" t="str">
        <f>_xlfn.XLOOKUP(Tabela14[[#This Row],[Categoria]],CATEGORIAS!$C:$C,CATEGORIAS!$D:$D,"")</f>
        <v>2.1 Despesas Diretas</v>
      </c>
    </row>
    <row r="578" spans="2:20" x14ac:dyDescent="0.25">
      <c r="B578"/>
      <c r="C578"/>
      <c r="D578" s="1">
        <v>46164</v>
      </c>
      <c r="E578" s="1">
        <v>46164</v>
      </c>
      <c r="F578" s="17">
        <v>46168</v>
      </c>
      <c r="G578" t="s">
        <v>184</v>
      </c>
      <c r="H578" t="s">
        <v>27</v>
      </c>
      <c r="I578" t="s">
        <v>91</v>
      </c>
      <c r="J578" s="30">
        <v>-17251.84</v>
      </c>
      <c r="K578" s="30">
        <v>0</v>
      </c>
      <c r="L578" s="33">
        <v>-17251.84</v>
      </c>
      <c r="M578" t="s">
        <v>185</v>
      </c>
      <c r="N578" t="s">
        <v>197</v>
      </c>
      <c r="O578" s="34" t="s">
        <v>539</v>
      </c>
      <c r="P578" t="s">
        <v>187</v>
      </c>
      <c r="Q578" t="s">
        <v>23</v>
      </c>
      <c r="R578" t="s">
        <v>23</v>
      </c>
      <c r="S578" t="s">
        <v>25</v>
      </c>
      <c r="T578" t="str">
        <f>_xlfn.XLOOKUP(Tabela14[[#This Row],[Categoria]],CATEGORIAS!$C:$C,CATEGORIAS!$D:$D,"")</f>
        <v>2.1 Despesas Diretas</v>
      </c>
    </row>
    <row r="579" spans="2:20" x14ac:dyDescent="0.25">
      <c r="B579"/>
      <c r="C579"/>
      <c r="D579" s="1">
        <v>46178</v>
      </c>
      <c r="E579" s="1">
        <v>46178</v>
      </c>
      <c r="F579" s="38">
        <v>46174</v>
      </c>
      <c r="G579" t="s">
        <v>184</v>
      </c>
      <c r="H579" t="s">
        <v>27</v>
      </c>
      <c r="I579" t="s">
        <v>90</v>
      </c>
      <c r="J579" s="30">
        <v>-69.06</v>
      </c>
      <c r="K579" s="30">
        <v>0</v>
      </c>
      <c r="L579" s="33">
        <v>-56.96</v>
      </c>
      <c r="M579" t="s">
        <v>185</v>
      </c>
      <c r="N579" t="s">
        <v>197</v>
      </c>
      <c r="O579" s="34" t="s">
        <v>543</v>
      </c>
      <c r="P579" t="s">
        <v>187</v>
      </c>
      <c r="Q579" t="s">
        <v>23</v>
      </c>
      <c r="R579" t="s">
        <v>23</v>
      </c>
      <c r="S579" t="s">
        <v>25</v>
      </c>
      <c r="T579" t="str">
        <f>_xlfn.XLOOKUP(Tabela14[[#This Row],[Categoria]],CATEGORIAS!$C:$C,CATEGORIAS!$D:$D,"")</f>
        <v>2.1 Despesas Diretas</v>
      </c>
    </row>
    <row r="580" spans="2:20" x14ac:dyDescent="0.25">
      <c r="B580"/>
      <c r="C580"/>
      <c r="D580" s="1">
        <v>46178</v>
      </c>
      <c r="E580" s="1">
        <v>46178</v>
      </c>
      <c r="F580" s="17">
        <v>46174</v>
      </c>
      <c r="G580" t="s">
        <v>184</v>
      </c>
      <c r="H580" t="s">
        <v>27</v>
      </c>
      <c r="I580" t="s">
        <v>90</v>
      </c>
      <c r="J580" s="30">
        <v>-101.38</v>
      </c>
      <c r="K580" s="30">
        <v>0</v>
      </c>
      <c r="L580" s="33">
        <v>-55.04</v>
      </c>
      <c r="M580" t="s">
        <v>185</v>
      </c>
      <c r="N580" t="s">
        <v>197</v>
      </c>
      <c r="O580" s="34" t="s">
        <v>545</v>
      </c>
      <c r="P580" t="s">
        <v>187</v>
      </c>
      <c r="Q580" t="s">
        <v>23</v>
      </c>
      <c r="R580" t="s">
        <v>23</v>
      </c>
      <c r="S580" t="s">
        <v>25</v>
      </c>
      <c r="T580" t="str">
        <f>_xlfn.XLOOKUP(Tabela14[[#This Row],[Categoria]],CATEGORIAS!$C:$C,CATEGORIAS!$D:$D,"")</f>
        <v>2.1 Despesas Diretas</v>
      </c>
    </row>
    <row r="581" spans="2:20" x14ac:dyDescent="0.25">
      <c r="B581"/>
      <c r="C581"/>
      <c r="D581" s="1">
        <v>46178</v>
      </c>
      <c r="E581" s="1">
        <v>46178</v>
      </c>
      <c r="F581" s="41">
        <v>46174</v>
      </c>
      <c r="G581" t="s">
        <v>184</v>
      </c>
      <c r="H581" t="s">
        <v>27</v>
      </c>
      <c r="I581" t="s">
        <v>90</v>
      </c>
      <c r="J581" s="30">
        <v>-1592.45</v>
      </c>
      <c r="K581" s="30">
        <v>0</v>
      </c>
      <c r="L581" s="33">
        <v>-465.92</v>
      </c>
      <c r="M581" t="s">
        <v>185</v>
      </c>
      <c r="N581" t="s">
        <v>197</v>
      </c>
      <c r="O581" s="34" t="s">
        <v>541</v>
      </c>
      <c r="P581" t="s">
        <v>187</v>
      </c>
      <c r="Q581" t="s">
        <v>23</v>
      </c>
      <c r="R581" t="s">
        <v>23</v>
      </c>
      <c r="S581" t="s">
        <v>25</v>
      </c>
      <c r="T581" t="str">
        <f>_xlfn.XLOOKUP(Tabela14[[#This Row],[Categoria]],CATEGORIAS!$C:$C,CATEGORIAS!$D:$D,"")</f>
        <v>2.1 Despesas Diretas</v>
      </c>
    </row>
    <row r="582" spans="2:20" x14ac:dyDescent="0.25">
      <c r="B582"/>
      <c r="C582"/>
      <c r="D582" s="1">
        <v>46206</v>
      </c>
      <c r="E582" s="1">
        <v>46206</v>
      </c>
      <c r="F582" s="17">
        <v>46202</v>
      </c>
      <c r="G582" t="s">
        <v>184</v>
      </c>
      <c r="H582" t="s">
        <v>27</v>
      </c>
      <c r="I582" t="s">
        <v>90</v>
      </c>
      <c r="J582" s="30">
        <v>-174.45</v>
      </c>
      <c r="K582" s="30">
        <v>0</v>
      </c>
      <c r="L582" s="33">
        <v>-97.706666666666663</v>
      </c>
      <c r="M582" t="s">
        <v>185</v>
      </c>
      <c r="N582" t="s">
        <v>197</v>
      </c>
      <c r="O582" s="34" t="s">
        <v>533</v>
      </c>
      <c r="P582" t="s">
        <v>187</v>
      </c>
      <c r="Q582" t="s">
        <v>23</v>
      </c>
      <c r="R582" t="s">
        <v>23</v>
      </c>
      <c r="S582" t="s">
        <v>25</v>
      </c>
      <c r="T582" t="str">
        <f>_xlfn.XLOOKUP(Tabela14[[#This Row],[Categoria]],CATEGORIAS!$C:$C,CATEGORIAS!$D:$D,"")</f>
        <v>2.1 Despesas Diretas</v>
      </c>
    </row>
    <row r="583" spans="2:20" x14ac:dyDescent="0.25">
      <c r="B583"/>
      <c r="C583"/>
      <c r="D583" s="1">
        <v>46206</v>
      </c>
      <c r="E583" s="1">
        <v>46206</v>
      </c>
      <c r="F583" s="17">
        <v>46202</v>
      </c>
      <c r="G583" t="s">
        <v>184</v>
      </c>
      <c r="H583" t="s">
        <v>27</v>
      </c>
      <c r="I583" t="s">
        <v>90</v>
      </c>
      <c r="J583" s="30">
        <v>-112.36</v>
      </c>
      <c r="K583" s="30">
        <v>0</v>
      </c>
      <c r="L583" s="33">
        <v>-70.826666666666668</v>
      </c>
      <c r="M583" t="s">
        <v>185</v>
      </c>
      <c r="N583" t="s">
        <v>197</v>
      </c>
      <c r="O583" s="34" t="s">
        <v>535</v>
      </c>
      <c r="P583" t="s">
        <v>187</v>
      </c>
      <c r="Q583" t="s">
        <v>23</v>
      </c>
      <c r="R583" t="s">
        <v>23</v>
      </c>
      <c r="S583" t="s">
        <v>25</v>
      </c>
      <c r="T583" t="str">
        <f>_xlfn.XLOOKUP(Tabela14[[#This Row],[Categoria]],CATEGORIAS!$C:$C,CATEGORIAS!$D:$D,"")</f>
        <v>2.1 Despesas Diretas</v>
      </c>
    </row>
    <row r="584" spans="2:20" x14ac:dyDescent="0.25">
      <c r="B584"/>
      <c r="C584"/>
      <c r="D584" s="1">
        <v>46206</v>
      </c>
      <c r="E584" s="1">
        <v>46206</v>
      </c>
      <c r="F584" s="17">
        <v>46202</v>
      </c>
      <c r="G584" t="s">
        <v>184</v>
      </c>
      <c r="H584" t="s">
        <v>27</v>
      </c>
      <c r="I584" t="s">
        <v>90</v>
      </c>
      <c r="J584" s="30">
        <v>-555.24</v>
      </c>
      <c r="K584" s="30">
        <v>0</v>
      </c>
      <c r="L584" s="33">
        <v>-174.29333333333332</v>
      </c>
      <c r="M584" t="s">
        <v>185</v>
      </c>
      <c r="N584" t="s">
        <v>197</v>
      </c>
      <c r="O584" s="34" t="s">
        <v>540</v>
      </c>
      <c r="P584" t="s">
        <v>187</v>
      </c>
      <c r="Q584" t="s">
        <v>23</v>
      </c>
      <c r="R584" t="s">
        <v>23</v>
      </c>
      <c r="S584" t="s">
        <v>25</v>
      </c>
      <c r="T584" t="str">
        <f>_xlfn.XLOOKUP(Tabela14[[#This Row],[Categoria]],CATEGORIAS!$C:$C,CATEGORIAS!$D:$D,"")</f>
        <v>2.1 Despesas Diretas</v>
      </c>
    </row>
    <row r="585" spans="2:20" x14ac:dyDescent="0.25">
      <c r="B585"/>
      <c r="C585"/>
      <c r="D585" s="1">
        <v>46206</v>
      </c>
      <c r="E585" s="1">
        <v>46206</v>
      </c>
      <c r="F585" s="42">
        <v>46202</v>
      </c>
      <c r="G585" t="s">
        <v>184</v>
      </c>
      <c r="H585" t="s">
        <v>27</v>
      </c>
      <c r="I585" t="s">
        <v>90</v>
      </c>
      <c r="J585" s="30">
        <v>-1866.59</v>
      </c>
      <c r="K585" s="30">
        <v>0</v>
      </c>
      <c r="L585" s="33">
        <v>-1189.1200000000001</v>
      </c>
      <c r="M585" t="s">
        <v>185</v>
      </c>
      <c r="N585" t="s">
        <v>197</v>
      </c>
      <c r="O585" s="34" t="s">
        <v>531</v>
      </c>
      <c r="P585" t="s">
        <v>187</v>
      </c>
      <c r="Q585" t="s">
        <v>23</v>
      </c>
      <c r="R585" t="s">
        <v>23</v>
      </c>
      <c r="S585" t="s">
        <v>25</v>
      </c>
      <c r="T585" t="str">
        <f>_xlfn.XLOOKUP(Tabela14[[#This Row],[Categoria]],CATEGORIAS!$C:$C,CATEGORIAS!$D:$D,"")</f>
        <v>2.1 Despesas Diretas</v>
      </c>
    </row>
    <row r="586" spans="2:20" x14ac:dyDescent="0.25">
      <c r="B586"/>
      <c r="C586"/>
      <c r="D586" s="1">
        <v>46206</v>
      </c>
      <c r="E586" s="1">
        <v>46206</v>
      </c>
      <c r="F586" s="42">
        <v>46202</v>
      </c>
      <c r="G586" t="s">
        <v>184</v>
      </c>
      <c r="H586" t="s">
        <v>27</v>
      </c>
      <c r="I586" t="s">
        <v>90</v>
      </c>
      <c r="J586" s="30">
        <v>-853.33</v>
      </c>
      <c r="K586" s="30">
        <v>0</v>
      </c>
      <c r="L586" s="33">
        <v>-556.95359999999994</v>
      </c>
      <c r="M586" t="s">
        <v>185</v>
      </c>
      <c r="N586" t="s">
        <v>197</v>
      </c>
      <c r="O586" s="34" t="s">
        <v>546</v>
      </c>
      <c r="P586" t="s">
        <v>187</v>
      </c>
      <c r="Q586" t="s">
        <v>23</v>
      </c>
      <c r="R586" t="s">
        <v>23</v>
      </c>
      <c r="S586" t="s">
        <v>25</v>
      </c>
      <c r="T586" t="str">
        <f>_xlfn.XLOOKUP(Tabela14[[#This Row],[Categoria]],CATEGORIAS!$C:$C,CATEGORIAS!$D:$D,"")</f>
        <v>2.1 Despesas Diretas</v>
      </c>
    </row>
    <row r="587" spans="2:20" x14ac:dyDescent="0.25">
      <c r="B587"/>
      <c r="C587"/>
      <c r="D587" s="1">
        <v>46206</v>
      </c>
      <c r="E587" s="1">
        <v>46206</v>
      </c>
      <c r="F587" s="38">
        <v>46202</v>
      </c>
      <c r="G587" t="s">
        <v>184</v>
      </c>
      <c r="H587" t="s">
        <v>27</v>
      </c>
      <c r="I587" t="s">
        <v>90</v>
      </c>
      <c r="J587" s="30">
        <v>-69.06</v>
      </c>
      <c r="K587" s="30">
        <v>0</v>
      </c>
      <c r="L587" s="33">
        <v>-56.96</v>
      </c>
      <c r="M587" t="s">
        <v>185</v>
      </c>
      <c r="N587" t="s">
        <v>197</v>
      </c>
      <c r="O587" s="34" t="s">
        <v>543</v>
      </c>
      <c r="P587" t="s">
        <v>187</v>
      </c>
      <c r="Q587" t="s">
        <v>23</v>
      </c>
      <c r="R587" t="s">
        <v>23</v>
      </c>
      <c r="S587" t="s">
        <v>25</v>
      </c>
      <c r="T587" t="str">
        <f>_xlfn.XLOOKUP(Tabela14[[#This Row],[Categoria]],CATEGORIAS!$C:$C,CATEGORIAS!$D:$D,"")</f>
        <v>2.1 Despesas Diretas</v>
      </c>
    </row>
    <row r="588" spans="2:20" x14ac:dyDescent="0.25">
      <c r="B588"/>
      <c r="C588"/>
      <c r="D588" s="1">
        <v>46206</v>
      </c>
      <c r="E588" s="1">
        <v>46206</v>
      </c>
      <c r="F588" s="17">
        <v>46202</v>
      </c>
      <c r="G588" t="s">
        <v>184</v>
      </c>
      <c r="H588" t="s">
        <v>27</v>
      </c>
      <c r="I588" t="s">
        <v>90</v>
      </c>
      <c r="J588" s="30">
        <v>-94.41</v>
      </c>
      <c r="K588" s="30">
        <v>0</v>
      </c>
      <c r="L588" s="33">
        <v>-104</v>
      </c>
      <c r="M588" t="s">
        <v>185</v>
      </c>
      <c r="N588" t="s">
        <v>197</v>
      </c>
      <c r="O588" s="34" t="s">
        <v>534</v>
      </c>
      <c r="P588" t="s">
        <v>187</v>
      </c>
      <c r="Q588" t="s">
        <v>23</v>
      </c>
      <c r="R588" t="s">
        <v>23</v>
      </c>
      <c r="S588" t="s">
        <v>25</v>
      </c>
      <c r="T588" t="str">
        <f>_xlfn.XLOOKUP(Tabela14[[#This Row],[Categoria]],CATEGORIAS!$C:$C,CATEGORIAS!$D:$D,"")</f>
        <v>2.1 Despesas Diretas</v>
      </c>
    </row>
    <row r="589" spans="2:20" x14ac:dyDescent="0.25">
      <c r="B589"/>
      <c r="C589"/>
      <c r="D589" s="1">
        <v>46206</v>
      </c>
      <c r="E589" s="1">
        <v>46206</v>
      </c>
      <c r="F589" s="42">
        <v>46202</v>
      </c>
      <c r="G589" t="s">
        <v>184</v>
      </c>
      <c r="H589" t="s">
        <v>27</v>
      </c>
      <c r="I589" t="s">
        <v>90</v>
      </c>
      <c r="J589" s="30">
        <v>-5066.6899999999996</v>
      </c>
      <c r="K589" s="30">
        <v>0</v>
      </c>
      <c r="L589" s="33">
        <v>-4653.8666666666668</v>
      </c>
      <c r="M589" t="s">
        <v>185</v>
      </c>
      <c r="N589" t="s">
        <v>197</v>
      </c>
      <c r="O589" s="34" t="s">
        <v>542</v>
      </c>
      <c r="P589" t="s">
        <v>187</v>
      </c>
      <c r="Q589" t="s">
        <v>23</v>
      </c>
      <c r="R589" t="s">
        <v>23</v>
      </c>
      <c r="S589" t="s">
        <v>25</v>
      </c>
      <c r="T589" t="str">
        <f>_xlfn.XLOOKUP(Tabela14[[#This Row],[Categoria]],CATEGORIAS!$C:$C,CATEGORIAS!$D:$D,"")</f>
        <v>2.1 Despesas Diretas</v>
      </c>
    </row>
    <row r="590" spans="2:20" x14ac:dyDescent="0.25">
      <c r="B590"/>
      <c r="C590"/>
      <c r="D590" s="1">
        <v>46206</v>
      </c>
      <c r="E590" s="1">
        <v>46206</v>
      </c>
      <c r="F590" s="17">
        <v>46202</v>
      </c>
      <c r="G590" t="s">
        <v>184</v>
      </c>
      <c r="H590" t="s">
        <v>27</v>
      </c>
      <c r="I590" t="s">
        <v>90</v>
      </c>
      <c r="J590" s="30">
        <v>-135.16999999999999</v>
      </c>
      <c r="K590" s="30">
        <v>0</v>
      </c>
      <c r="L590" s="33">
        <v>-48.639999999999993</v>
      </c>
      <c r="M590" t="s">
        <v>185</v>
      </c>
      <c r="N590" t="s">
        <v>197</v>
      </c>
      <c r="O590" s="34" t="s">
        <v>544</v>
      </c>
      <c r="P590" t="s">
        <v>187</v>
      </c>
      <c r="Q590" t="s">
        <v>23</v>
      </c>
      <c r="R590" t="s">
        <v>23</v>
      </c>
      <c r="S590" t="s">
        <v>25</v>
      </c>
      <c r="T590" t="str">
        <f>_xlfn.XLOOKUP(Tabela14[[#This Row],[Categoria]],CATEGORIAS!$C:$C,CATEGORIAS!$D:$D,"")</f>
        <v>2.1 Despesas Diretas</v>
      </c>
    </row>
    <row r="591" spans="2:20" x14ac:dyDescent="0.25">
      <c r="B591"/>
      <c r="C591"/>
      <c r="D591" s="1">
        <v>46206</v>
      </c>
      <c r="E591" s="1">
        <v>46206</v>
      </c>
      <c r="F591" s="17">
        <v>46202</v>
      </c>
      <c r="G591" t="s">
        <v>184</v>
      </c>
      <c r="H591" t="s">
        <v>27</v>
      </c>
      <c r="I591" t="s">
        <v>90</v>
      </c>
      <c r="J591" s="30">
        <v>-633.6</v>
      </c>
      <c r="K591" s="30">
        <v>0</v>
      </c>
      <c r="L591" s="33">
        <v>-233.6</v>
      </c>
      <c r="M591" t="s">
        <v>185</v>
      </c>
      <c r="N591" t="s">
        <v>197</v>
      </c>
      <c r="O591" s="34" t="s">
        <v>538</v>
      </c>
      <c r="P591" t="s">
        <v>187</v>
      </c>
      <c r="Q591" t="s">
        <v>23</v>
      </c>
      <c r="R591" t="s">
        <v>23</v>
      </c>
      <c r="S591" t="s">
        <v>25</v>
      </c>
      <c r="T591" t="str">
        <f>_xlfn.XLOOKUP(Tabela14[[#This Row],[Categoria]],CATEGORIAS!$C:$C,CATEGORIAS!$D:$D,"")</f>
        <v>2.1 Despesas Diretas</v>
      </c>
    </row>
    <row r="592" spans="2:20" x14ac:dyDescent="0.25">
      <c r="B592"/>
      <c r="C592"/>
      <c r="D592" s="1">
        <v>46206</v>
      </c>
      <c r="E592" s="1">
        <v>46206</v>
      </c>
      <c r="F592" s="17">
        <v>46202</v>
      </c>
      <c r="G592" t="s">
        <v>184</v>
      </c>
      <c r="H592" t="s">
        <v>27</v>
      </c>
      <c r="I592" t="s">
        <v>90</v>
      </c>
      <c r="J592" s="30">
        <v>-101.38</v>
      </c>
      <c r="K592" s="30">
        <v>0</v>
      </c>
      <c r="L592" s="33">
        <v>-55.04</v>
      </c>
      <c r="M592" t="s">
        <v>185</v>
      </c>
      <c r="N592" t="s">
        <v>197</v>
      </c>
      <c r="O592" s="34" t="s">
        <v>545</v>
      </c>
      <c r="P592" t="s">
        <v>187</v>
      </c>
      <c r="Q592" t="s">
        <v>23</v>
      </c>
      <c r="R592" t="s">
        <v>23</v>
      </c>
      <c r="S592" t="s">
        <v>25</v>
      </c>
      <c r="T592" t="str">
        <f>_xlfn.XLOOKUP(Tabela14[[#This Row],[Categoria]],CATEGORIAS!$C:$C,CATEGORIAS!$D:$D,"")</f>
        <v>2.1 Despesas Diretas</v>
      </c>
    </row>
    <row r="593" spans="2:20" x14ac:dyDescent="0.25">
      <c r="B593"/>
      <c r="C593"/>
      <c r="D593" s="1">
        <v>46206</v>
      </c>
      <c r="E593" s="1">
        <v>46206</v>
      </c>
      <c r="F593" s="17">
        <v>46202</v>
      </c>
      <c r="G593" t="s">
        <v>184</v>
      </c>
      <c r="H593" t="s">
        <v>27</v>
      </c>
      <c r="I593" t="s">
        <v>90</v>
      </c>
      <c r="J593" s="30">
        <v>-285.12</v>
      </c>
      <c r="K593" s="30">
        <v>0</v>
      </c>
      <c r="L593" s="33">
        <v>-122.66666666666667</v>
      </c>
      <c r="M593" t="s">
        <v>185</v>
      </c>
      <c r="N593" t="s">
        <v>197</v>
      </c>
      <c r="O593" s="34" t="s">
        <v>532</v>
      </c>
      <c r="P593" t="s">
        <v>187</v>
      </c>
      <c r="Q593" t="s">
        <v>23</v>
      </c>
      <c r="R593" t="s">
        <v>23</v>
      </c>
      <c r="S593" t="s">
        <v>25</v>
      </c>
      <c r="T593" t="str">
        <f>_xlfn.XLOOKUP(Tabela14[[#This Row],[Categoria]],CATEGORIAS!$C:$C,CATEGORIAS!$D:$D,"")</f>
        <v>2.1 Despesas Diretas</v>
      </c>
    </row>
    <row r="594" spans="2:20" x14ac:dyDescent="0.25">
      <c r="B594"/>
      <c r="C594"/>
      <c r="D594" s="1">
        <v>46206</v>
      </c>
      <c r="E594" s="1">
        <v>46206</v>
      </c>
      <c r="F594" s="17">
        <v>46202</v>
      </c>
      <c r="G594" t="s">
        <v>184</v>
      </c>
      <c r="H594" t="s">
        <v>27</v>
      </c>
      <c r="I594" t="s">
        <v>90</v>
      </c>
      <c r="J594" s="30">
        <v>-485.76</v>
      </c>
      <c r="K594" s="30">
        <v>0</v>
      </c>
      <c r="L594" s="33">
        <v>-119.33333333333333</v>
      </c>
      <c r="M594" t="s">
        <v>185</v>
      </c>
      <c r="N594" t="s">
        <v>197</v>
      </c>
      <c r="O594" s="34" t="s">
        <v>537</v>
      </c>
      <c r="P594" t="s">
        <v>187</v>
      </c>
      <c r="Q594" t="s">
        <v>23</v>
      </c>
      <c r="R594" t="s">
        <v>23</v>
      </c>
      <c r="S594" t="s">
        <v>25</v>
      </c>
      <c r="T594" t="str">
        <f>_xlfn.XLOOKUP(Tabela14[[#This Row],[Categoria]],CATEGORIAS!$C:$C,CATEGORIAS!$D:$D,"")</f>
        <v>2.1 Despesas Diretas</v>
      </c>
    </row>
    <row r="595" spans="2:20" x14ac:dyDescent="0.25">
      <c r="B595"/>
      <c r="C595"/>
      <c r="D595" s="1">
        <v>46206</v>
      </c>
      <c r="E595" s="1">
        <v>46206</v>
      </c>
      <c r="F595" s="17">
        <v>46202</v>
      </c>
      <c r="G595" t="s">
        <v>184</v>
      </c>
      <c r="H595" t="s">
        <v>27</v>
      </c>
      <c r="I595" t="s">
        <v>90</v>
      </c>
      <c r="J595" s="30">
        <v>-33.79</v>
      </c>
      <c r="K595" s="30">
        <v>0</v>
      </c>
      <c r="L595" s="33">
        <v>-17.919999999999998</v>
      </c>
      <c r="M595" t="s">
        <v>185</v>
      </c>
      <c r="N595" t="s">
        <v>197</v>
      </c>
      <c r="O595" s="34" t="s">
        <v>536</v>
      </c>
      <c r="P595" t="s">
        <v>187</v>
      </c>
      <c r="Q595" t="s">
        <v>23</v>
      </c>
      <c r="R595" t="s">
        <v>23</v>
      </c>
      <c r="S595" t="s">
        <v>25</v>
      </c>
      <c r="T595" t="str">
        <f>_xlfn.XLOOKUP(Tabela14[[#This Row],[Categoria]],CATEGORIAS!$C:$C,CATEGORIAS!$D:$D,"")</f>
        <v>2.1 Despesas Diretas</v>
      </c>
    </row>
    <row r="596" spans="2:20" x14ac:dyDescent="0.25">
      <c r="B596"/>
      <c r="C596"/>
      <c r="D596" s="1">
        <v>46206</v>
      </c>
      <c r="E596" s="1">
        <v>46206</v>
      </c>
      <c r="F596" s="42">
        <v>46202</v>
      </c>
      <c r="G596" t="s">
        <v>184</v>
      </c>
      <c r="H596" t="s">
        <v>27</v>
      </c>
      <c r="I596" t="s">
        <v>90</v>
      </c>
      <c r="J596" s="30">
        <v>-1592.45</v>
      </c>
      <c r="K596" s="30">
        <v>0</v>
      </c>
      <c r="L596" s="33">
        <v>-465.92</v>
      </c>
      <c r="M596" t="s">
        <v>185</v>
      </c>
      <c r="N596" t="s">
        <v>197</v>
      </c>
      <c r="O596" s="34" t="s">
        <v>541</v>
      </c>
      <c r="P596" t="s">
        <v>187</v>
      </c>
      <c r="Q596" t="s">
        <v>23</v>
      </c>
      <c r="R596" t="s">
        <v>23</v>
      </c>
      <c r="S596" t="s">
        <v>25</v>
      </c>
      <c r="T596" t="str">
        <f>_xlfn.XLOOKUP(Tabela14[[#This Row],[Categoria]],CATEGORIAS!$C:$C,CATEGORIAS!$D:$D,"")</f>
        <v>2.1 Despesas Diretas</v>
      </c>
    </row>
    <row r="597" spans="2:20" x14ac:dyDescent="0.25">
      <c r="B597"/>
      <c r="C597"/>
      <c r="D597" s="1">
        <v>46192</v>
      </c>
      <c r="E597" s="1">
        <v>46192</v>
      </c>
      <c r="F597" s="17">
        <v>46196</v>
      </c>
      <c r="G597" t="s">
        <v>184</v>
      </c>
      <c r="H597" t="s">
        <v>27</v>
      </c>
      <c r="I597" t="s">
        <v>91</v>
      </c>
      <c r="J597" s="30">
        <v>-12956.16</v>
      </c>
      <c r="K597" s="30">
        <v>0</v>
      </c>
      <c r="L597" s="33">
        <v>-12956.16</v>
      </c>
      <c r="M597" t="s">
        <v>185</v>
      </c>
      <c r="N597" t="s">
        <v>197</v>
      </c>
      <c r="O597" s="34" t="s">
        <v>539</v>
      </c>
      <c r="P597" t="s">
        <v>187</v>
      </c>
      <c r="Q597" t="s">
        <v>23</v>
      </c>
      <c r="R597" t="s">
        <v>23</v>
      </c>
      <c r="S597" t="s">
        <v>25</v>
      </c>
      <c r="T597" t="str">
        <f>_xlfn.XLOOKUP(Tabela14[[#This Row],[Categoria]],CATEGORIAS!$C:$C,CATEGORIAS!$D:$D,"")</f>
        <v>2.1 Despesas Diretas</v>
      </c>
    </row>
    <row r="598" spans="2:20" x14ac:dyDescent="0.25">
      <c r="B598"/>
      <c r="C598"/>
      <c r="D598" s="1">
        <v>46150</v>
      </c>
      <c r="E598" s="1">
        <v>46150</v>
      </c>
      <c r="F598" s="17">
        <v>46154</v>
      </c>
      <c r="G598" t="s">
        <v>184</v>
      </c>
      <c r="H598" t="s">
        <v>27</v>
      </c>
      <c r="I598" t="s">
        <v>91</v>
      </c>
      <c r="J598" s="31">
        <v>-6003.2</v>
      </c>
      <c r="K598" s="31">
        <v>0</v>
      </c>
      <c r="L598" s="33">
        <v>-6003.2</v>
      </c>
      <c r="M598" t="s">
        <v>185</v>
      </c>
      <c r="N598" t="s">
        <v>188</v>
      </c>
      <c r="O598" s="34" t="s">
        <v>561</v>
      </c>
      <c r="P598" t="s">
        <v>187</v>
      </c>
      <c r="Q598" t="s">
        <v>23</v>
      </c>
      <c r="R598" t="s">
        <v>23</v>
      </c>
      <c r="S598" t="s">
        <v>25</v>
      </c>
      <c r="T598" t="str">
        <f>_xlfn.XLOOKUP(Tabela14[[#This Row],[Categoria]],CATEGORIAS!$C:$C,CATEGORIAS!$D:$D,"")</f>
        <v>2.1 Despesas Diretas</v>
      </c>
    </row>
    <row r="599" spans="2:20" x14ac:dyDescent="0.25">
      <c r="B599"/>
      <c r="C599"/>
      <c r="D599" s="1">
        <v>46136</v>
      </c>
      <c r="E599" s="1">
        <v>46136</v>
      </c>
      <c r="F599" s="17">
        <v>46140</v>
      </c>
      <c r="G599" t="s">
        <v>184</v>
      </c>
      <c r="H599" t="s">
        <v>27</v>
      </c>
      <c r="I599" t="s">
        <v>91</v>
      </c>
      <c r="J599" s="31">
        <v>-5996.8</v>
      </c>
      <c r="K599" s="31">
        <v>0</v>
      </c>
      <c r="L599" s="33">
        <v>-5996.8</v>
      </c>
      <c r="M599" t="s">
        <v>185</v>
      </c>
      <c r="N599" t="s">
        <v>188</v>
      </c>
      <c r="O599" s="34" t="s">
        <v>561</v>
      </c>
      <c r="P599" t="s">
        <v>187</v>
      </c>
      <c r="Q599" t="s">
        <v>23</v>
      </c>
      <c r="R599" t="s">
        <v>23</v>
      </c>
      <c r="S599" t="s">
        <v>25</v>
      </c>
      <c r="T599" t="str">
        <f>_xlfn.XLOOKUP(Tabela14[[#This Row],[Categoria]],CATEGORIAS!$C:$C,CATEGORIAS!$D:$D,"")</f>
        <v>2.1 Despesas Diretas</v>
      </c>
    </row>
    <row r="600" spans="2:20" x14ac:dyDescent="0.25">
      <c r="B600"/>
      <c r="C600"/>
      <c r="D600" s="1">
        <v>46164</v>
      </c>
      <c r="E600" s="1">
        <v>46164</v>
      </c>
      <c r="F600" s="17">
        <v>46164</v>
      </c>
      <c r="G600" t="s">
        <v>184</v>
      </c>
      <c r="H600" t="s">
        <v>27</v>
      </c>
      <c r="I600" t="s">
        <v>90</v>
      </c>
      <c r="J600" s="30">
        <v>-222.47</v>
      </c>
      <c r="K600" s="30">
        <v>0</v>
      </c>
      <c r="L600" s="33">
        <v>-222.47</v>
      </c>
      <c r="M600" t="s">
        <v>185</v>
      </c>
      <c r="N600" t="s">
        <v>188</v>
      </c>
      <c r="O600" s="34" t="s">
        <v>547</v>
      </c>
      <c r="P600" t="s">
        <v>187</v>
      </c>
      <c r="Q600" t="s">
        <v>23</v>
      </c>
      <c r="R600" t="s">
        <v>23</v>
      </c>
      <c r="S600" t="s">
        <v>25</v>
      </c>
      <c r="T600" t="str">
        <f>_xlfn.XLOOKUP(Tabela14[[#This Row],[Categoria]],CATEGORIAS!$C:$C,CATEGORIAS!$D:$D,"")</f>
        <v>2.1 Despesas Diretas</v>
      </c>
    </row>
    <row r="601" spans="2:20" x14ac:dyDescent="0.25">
      <c r="B601"/>
      <c r="C601"/>
      <c r="D601" s="1">
        <v>46164</v>
      </c>
      <c r="E601" s="1">
        <v>46164</v>
      </c>
      <c r="F601" s="17">
        <v>46164</v>
      </c>
      <c r="G601" t="s">
        <v>184</v>
      </c>
      <c r="H601" t="s">
        <v>27</v>
      </c>
      <c r="I601" t="s">
        <v>90</v>
      </c>
      <c r="J601" s="30">
        <v>-210.92</v>
      </c>
      <c r="K601" s="30">
        <v>0</v>
      </c>
      <c r="L601" s="33">
        <v>-210.92</v>
      </c>
      <c r="M601" t="s">
        <v>185</v>
      </c>
      <c r="N601" t="s">
        <v>188</v>
      </c>
      <c r="O601" s="34" t="s">
        <v>548</v>
      </c>
      <c r="P601" t="s">
        <v>187</v>
      </c>
      <c r="Q601" t="s">
        <v>23</v>
      </c>
      <c r="R601" t="s">
        <v>23</v>
      </c>
      <c r="S601" t="s">
        <v>25</v>
      </c>
      <c r="T601" t="str">
        <f>_xlfn.XLOOKUP(Tabela14[[#This Row],[Categoria]],CATEGORIAS!$C:$C,CATEGORIAS!$D:$D,"")</f>
        <v>2.1 Despesas Diretas</v>
      </c>
    </row>
    <row r="602" spans="2:20" x14ac:dyDescent="0.25">
      <c r="B602"/>
      <c r="C602"/>
      <c r="D602" s="1">
        <v>46164</v>
      </c>
      <c r="E602" s="1">
        <v>46164</v>
      </c>
      <c r="F602" s="17">
        <v>46168</v>
      </c>
      <c r="G602" t="s">
        <v>184</v>
      </c>
      <c r="H602" t="s">
        <v>27</v>
      </c>
      <c r="I602" t="s">
        <v>91</v>
      </c>
      <c r="J602" s="30">
        <v>-21564.799999999999</v>
      </c>
      <c r="K602" s="30">
        <v>0</v>
      </c>
      <c r="L602" s="33">
        <v>-21564.799999999999</v>
      </c>
      <c r="M602" t="s">
        <v>185</v>
      </c>
      <c r="N602" t="s">
        <v>188</v>
      </c>
      <c r="O602" s="34" t="s">
        <v>561</v>
      </c>
      <c r="P602" t="s">
        <v>187</v>
      </c>
      <c r="Q602" t="s">
        <v>23</v>
      </c>
      <c r="R602" t="s">
        <v>23</v>
      </c>
      <c r="S602" t="s">
        <v>25</v>
      </c>
      <c r="T602" t="str">
        <f>_xlfn.XLOOKUP(Tabela14[[#This Row],[Categoria]],CATEGORIAS!$C:$C,CATEGORIAS!$D:$D,"")</f>
        <v>2.1 Despesas Diretas</v>
      </c>
    </row>
    <row r="603" spans="2:20" x14ac:dyDescent="0.25">
      <c r="B603"/>
      <c r="C603"/>
      <c r="D603" s="1">
        <v>46164</v>
      </c>
      <c r="E603" s="1">
        <v>46164</v>
      </c>
      <c r="F603" s="17">
        <v>46164</v>
      </c>
      <c r="G603" t="s">
        <v>184</v>
      </c>
      <c r="H603" t="s">
        <v>27</v>
      </c>
      <c r="I603" t="s">
        <v>93</v>
      </c>
      <c r="J603" s="30">
        <v>-448.45</v>
      </c>
      <c r="K603" s="30">
        <v>0</v>
      </c>
      <c r="L603" s="33">
        <v>-448.45</v>
      </c>
      <c r="M603" t="s">
        <v>185</v>
      </c>
      <c r="N603" t="s">
        <v>188</v>
      </c>
      <c r="O603" s="34" t="s">
        <v>549</v>
      </c>
      <c r="P603" t="s">
        <v>187</v>
      </c>
      <c r="Q603" t="s">
        <v>23</v>
      </c>
      <c r="R603" t="s">
        <v>23</v>
      </c>
      <c r="S603" t="s">
        <v>25</v>
      </c>
      <c r="T603" t="str">
        <f>_xlfn.XLOOKUP(Tabela14[[#This Row],[Categoria]],CATEGORIAS!$C:$C,CATEGORIAS!$D:$D,"")</f>
        <v>2.1 Despesas Diretas</v>
      </c>
    </row>
    <row r="604" spans="2:20" x14ac:dyDescent="0.25">
      <c r="B604"/>
      <c r="C604"/>
      <c r="D604" s="1">
        <v>46164</v>
      </c>
      <c r="E604" s="1">
        <v>46164</v>
      </c>
      <c r="F604" s="17">
        <v>46164</v>
      </c>
      <c r="G604" t="s">
        <v>184</v>
      </c>
      <c r="H604" t="s">
        <v>27</v>
      </c>
      <c r="I604" t="s">
        <v>93</v>
      </c>
      <c r="J604" s="30">
        <v>-718.08</v>
      </c>
      <c r="K604" s="30">
        <v>0</v>
      </c>
      <c r="L604" s="33">
        <v>-718.08</v>
      </c>
      <c r="M604" t="s">
        <v>185</v>
      </c>
      <c r="N604" t="s">
        <v>188</v>
      </c>
      <c r="O604" s="34" t="s">
        <v>550</v>
      </c>
      <c r="P604" t="s">
        <v>187</v>
      </c>
      <c r="Q604" t="s">
        <v>23</v>
      </c>
      <c r="R604" t="s">
        <v>23</v>
      </c>
      <c r="S604" t="s">
        <v>25</v>
      </c>
      <c r="T604" t="str">
        <f>_xlfn.XLOOKUP(Tabela14[[#This Row],[Categoria]],CATEGORIAS!$C:$C,CATEGORIAS!$D:$D,"")</f>
        <v>2.1 Despesas Diretas</v>
      </c>
    </row>
    <row r="605" spans="2:20" x14ac:dyDescent="0.25">
      <c r="B605"/>
      <c r="C605"/>
      <c r="D605" s="1">
        <v>46164</v>
      </c>
      <c r="E605" s="1">
        <v>46164</v>
      </c>
      <c r="F605" s="17">
        <v>46148</v>
      </c>
      <c r="G605" t="s">
        <v>184</v>
      </c>
      <c r="H605" t="s">
        <v>27</v>
      </c>
      <c r="I605" t="s">
        <v>101</v>
      </c>
      <c r="J605" s="30">
        <v>-30720</v>
      </c>
      <c r="K605" s="30">
        <v>0</v>
      </c>
      <c r="L605" s="33">
        <v>-5836.8</v>
      </c>
      <c r="M605" t="s">
        <v>185</v>
      </c>
      <c r="N605" t="s">
        <v>188</v>
      </c>
      <c r="O605" s="34" t="s">
        <v>551</v>
      </c>
      <c r="P605" t="s">
        <v>187</v>
      </c>
      <c r="Q605" t="s">
        <v>23</v>
      </c>
      <c r="R605" t="s">
        <v>23</v>
      </c>
      <c r="S605" t="s">
        <v>25</v>
      </c>
      <c r="T605" t="str">
        <f>_xlfn.XLOOKUP(Tabela14[[#This Row],[Categoria]],CATEGORIAS!$C:$C,CATEGORIAS!$D:$D,"")</f>
        <v>2.1 Despesas Diretas</v>
      </c>
    </row>
    <row r="606" spans="2:20" x14ac:dyDescent="0.25">
      <c r="B606"/>
      <c r="C606"/>
      <c r="D606" s="1">
        <v>46164</v>
      </c>
      <c r="E606" s="1">
        <v>46164</v>
      </c>
      <c r="F606" s="17">
        <v>46179</v>
      </c>
      <c r="G606" t="s">
        <v>184</v>
      </c>
      <c r="H606" t="s">
        <v>27</v>
      </c>
      <c r="I606" t="s">
        <v>101</v>
      </c>
      <c r="J606" s="30">
        <v>-30720</v>
      </c>
      <c r="K606" s="30">
        <v>0</v>
      </c>
      <c r="L606" s="33">
        <v>-5836.8</v>
      </c>
      <c r="M606" t="s">
        <v>185</v>
      </c>
      <c r="N606" t="s">
        <v>188</v>
      </c>
      <c r="O606" s="34" t="s">
        <v>551</v>
      </c>
      <c r="P606" t="s">
        <v>187</v>
      </c>
      <c r="Q606" t="s">
        <v>23</v>
      </c>
      <c r="R606" t="s">
        <v>23</v>
      </c>
      <c r="S606" t="s">
        <v>25</v>
      </c>
      <c r="T606" t="str">
        <f>_xlfn.XLOOKUP(Tabela14[[#This Row],[Categoria]],CATEGORIAS!$C:$C,CATEGORIAS!$D:$D,"")</f>
        <v>2.1 Despesas Diretas</v>
      </c>
    </row>
    <row r="607" spans="2:20" x14ac:dyDescent="0.25">
      <c r="B607"/>
      <c r="C607"/>
      <c r="D607" s="1">
        <v>46164</v>
      </c>
      <c r="E607" s="1">
        <v>46164</v>
      </c>
      <c r="F607" s="17">
        <v>46162</v>
      </c>
      <c r="G607" t="s">
        <v>184</v>
      </c>
      <c r="H607" t="s">
        <v>27</v>
      </c>
      <c r="I607" t="s">
        <v>101</v>
      </c>
      <c r="J607" s="30">
        <v>-30720</v>
      </c>
      <c r="K607" s="30">
        <v>0</v>
      </c>
      <c r="L607" s="33">
        <v>-4761.6000000000004</v>
      </c>
      <c r="M607" t="s">
        <v>185</v>
      </c>
      <c r="N607" t="s">
        <v>188</v>
      </c>
      <c r="O607" s="34" t="s">
        <v>551</v>
      </c>
      <c r="P607" t="s">
        <v>187</v>
      </c>
      <c r="Q607" t="s">
        <v>23</v>
      </c>
      <c r="R607" t="s">
        <v>23</v>
      </c>
      <c r="S607" t="s">
        <v>25</v>
      </c>
      <c r="T607" t="str">
        <f>_xlfn.XLOOKUP(Tabela14[[#This Row],[Categoria]],CATEGORIAS!$C:$C,CATEGORIAS!$D:$D,"")</f>
        <v>2.1 Despesas Diretas</v>
      </c>
    </row>
    <row r="608" spans="2:20" x14ac:dyDescent="0.25">
      <c r="B608"/>
      <c r="C608"/>
      <c r="D608" s="1">
        <v>46164</v>
      </c>
      <c r="E608" s="1">
        <v>46164</v>
      </c>
      <c r="F608" s="17">
        <v>46193</v>
      </c>
      <c r="G608" t="s">
        <v>184</v>
      </c>
      <c r="H608" t="s">
        <v>27</v>
      </c>
      <c r="I608" t="s">
        <v>101</v>
      </c>
      <c r="J608" s="30">
        <v>-30720</v>
      </c>
      <c r="K608" s="30">
        <v>0</v>
      </c>
      <c r="L608" s="33">
        <v>-4761.6000000000004</v>
      </c>
      <c r="M608" t="s">
        <v>185</v>
      </c>
      <c r="N608" t="s">
        <v>188</v>
      </c>
      <c r="O608" s="34" t="s">
        <v>551</v>
      </c>
      <c r="P608" t="s">
        <v>187</v>
      </c>
      <c r="Q608" t="s">
        <v>23</v>
      </c>
      <c r="R608" t="s">
        <v>23</v>
      </c>
      <c r="S608" t="s">
        <v>25</v>
      </c>
      <c r="T608" t="str">
        <f>_xlfn.XLOOKUP(Tabela14[[#This Row],[Categoria]],CATEGORIAS!$C:$C,CATEGORIAS!$D:$D,"")</f>
        <v>2.1 Despesas Diretas</v>
      </c>
    </row>
    <row r="609" spans="2:20" x14ac:dyDescent="0.25">
      <c r="B609"/>
      <c r="C609"/>
      <c r="D609" s="1">
        <v>46164</v>
      </c>
      <c r="E609" s="1">
        <v>46164</v>
      </c>
      <c r="F609" s="17">
        <v>46177</v>
      </c>
      <c r="G609" t="s">
        <v>184</v>
      </c>
      <c r="H609" t="s">
        <v>27</v>
      </c>
      <c r="I609" t="s">
        <v>101</v>
      </c>
      <c r="J609" s="30">
        <v>-30720</v>
      </c>
      <c r="K609" s="30">
        <v>0</v>
      </c>
      <c r="L609" s="33">
        <v>-4761.6000000000004</v>
      </c>
      <c r="M609" t="s">
        <v>185</v>
      </c>
      <c r="N609" t="s">
        <v>188</v>
      </c>
      <c r="O609" s="34" t="s">
        <v>551</v>
      </c>
      <c r="P609" t="s">
        <v>187</v>
      </c>
      <c r="Q609" t="s">
        <v>23</v>
      </c>
      <c r="R609" t="s">
        <v>23</v>
      </c>
      <c r="S609" t="s">
        <v>25</v>
      </c>
      <c r="T609" t="str">
        <f>_xlfn.XLOOKUP(Tabela14[[#This Row],[Categoria]],CATEGORIAS!$C:$C,CATEGORIAS!$D:$D,"")</f>
        <v>2.1 Despesas Diretas</v>
      </c>
    </row>
    <row r="610" spans="2:20" x14ac:dyDescent="0.25">
      <c r="B610"/>
      <c r="C610"/>
      <c r="D610" s="1">
        <v>46164</v>
      </c>
      <c r="E610" s="1">
        <v>46164</v>
      </c>
      <c r="F610" s="17">
        <v>46207</v>
      </c>
      <c r="G610" t="s">
        <v>184</v>
      </c>
      <c r="H610" t="s">
        <v>27</v>
      </c>
      <c r="I610" t="s">
        <v>101</v>
      </c>
      <c r="J610" s="30">
        <v>-30720</v>
      </c>
      <c r="K610" s="30">
        <v>0</v>
      </c>
      <c r="L610" s="33">
        <v>-4761.6000000000004</v>
      </c>
      <c r="M610" t="s">
        <v>185</v>
      </c>
      <c r="N610" t="s">
        <v>188</v>
      </c>
      <c r="O610" s="34" t="s">
        <v>551</v>
      </c>
      <c r="P610" t="s">
        <v>187</v>
      </c>
      <c r="Q610" t="s">
        <v>23</v>
      </c>
      <c r="R610" t="s">
        <v>23</v>
      </c>
      <c r="S610" t="s">
        <v>25</v>
      </c>
      <c r="T610" t="str">
        <f>_xlfn.XLOOKUP(Tabela14[[#This Row],[Categoria]],CATEGORIAS!$C:$C,CATEGORIAS!$D:$D,"")</f>
        <v>2.1 Despesas Diretas</v>
      </c>
    </row>
    <row r="611" spans="2:20" x14ac:dyDescent="0.25">
      <c r="B611"/>
      <c r="C611"/>
      <c r="D611" s="1">
        <v>46164</v>
      </c>
      <c r="E611" s="1">
        <v>46164</v>
      </c>
      <c r="F611" s="17">
        <v>46164</v>
      </c>
      <c r="G611" t="s">
        <v>184</v>
      </c>
      <c r="H611" t="s">
        <v>27</v>
      </c>
      <c r="I611" t="s">
        <v>90</v>
      </c>
      <c r="J611" s="30">
        <v>-4393.78</v>
      </c>
      <c r="K611" s="30">
        <v>0</v>
      </c>
      <c r="L611" s="33">
        <v>-4393.78</v>
      </c>
      <c r="M611" t="s">
        <v>185</v>
      </c>
      <c r="N611" t="s">
        <v>188</v>
      </c>
      <c r="O611" s="34" t="s">
        <v>552</v>
      </c>
      <c r="P611" t="s">
        <v>187</v>
      </c>
      <c r="Q611" t="s">
        <v>23</v>
      </c>
      <c r="R611" t="s">
        <v>23</v>
      </c>
      <c r="S611" t="s">
        <v>25</v>
      </c>
      <c r="T611" t="str">
        <f>_xlfn.XLOOKUP(Tabela14[[#This Row],[Categoria]],CATEGORIAS!$C:$C,CATEGORIAS!$D:$D,"")</f>
        <v>2.1 Despesas Diretas</v>
      </c>
    </row>
    <row r="612" spans="2:20" x14ac:dyDescent="0.25">
      <c r="B612"/>
      <c r="C612"/>
      <c r="D612" s="1">
        <v>46164</v>
      </c>
      <c r="E612" s="1">
        <v>46164</v>
      </c>
      <c r="F612" s="17">
        <v>46148</v>
      </c>
      <c r="G612" t="s">
        <v>184</v>
      </c>
      <c r="H612" t="s">
        <v>27</v>
      </c>
      <c r="I612" t="s">
        <v>101</v>
      </c>
      <c r="J612" s="30">
        <v>-5760</v>
      </c>
      <c r="K612" s="30">
        <v>0</v>
      </c>
      <c r="L612" s="33">
        <v>-2188.8000000000002</v>
      </c>
      <c r="M612" t="s">
        <v>185</v>
      </c>
      <c r="N612" t="s">
        <v>188</v>
      </c>
      <c r="O612" s="34" t="s">
        <v>553</v>
      </c>
      <c r="P612" t="s">
        <v>187</v>
      </c>
      <c r="Q612" t="s">
        <v>23</v>
      </c>
      <c r="R612" t="s">
        <v>23</v>
      </c>
      <c r="S612" t="s">
        <v>25</v>
      </c>
      <c r="T612" t="str">
        <f>_xlfn.XLOOKUP(Tabela14[[#This Row],[Categoria]],CATEGORIAS!$C:$C,CATEGORIAS!$D:$D,"")</f>
        <v>2.1 Despesas Diretas</v>
      </c>
    </row>
    <row r="613" spans="2:20" x14ac:dyDescent="0.25">
      <c r="B613"/>
      <c r="C613"/>
      <c r="D613" s="1">
        <v>46164</v>
      </c>
      <c r="E613" s="1">
        <v>46164</v>
      </c>
      <c r="F613" s="17">
        <v>46179</v>
      </c>
      <c r="G613" t="s">
        <v>184</v>
      </c>
      <c r="H613" t="s">
        <v>27</v>
      </c>
      <c r="I613" t="s">
        <v>101</v>
      </c>
      <c r="J613" s="30">
        <v>-5760</v>
      </c>
      <c r="K613" s="30">
        <v>0</v>
      </c>
      <c r="L613" s="33">
        <v>-2188.8000000000002</v>
      </c>
      <c r="M613" t="s">
        <v>185</v>
      </c>
      <c r="N613" t="s">
        <v>188</v>
      </c>
      <c r="O613" s="34" t="s">
        <v>553</v>
      </c>
      <c r="P613" t="s">
        <v>187</v>
      </c>
      <c r="Q613" t="s">
        <v>23</v>
      </c>
      <c r="R613" t="s">
        <v>23</v>
      </c>
      <c r="S613" t="s">
        <v>25</v>
      </c>
      <c r="T613" t="str">
        <f>_xlfn.XLOOKUP(Tabela14[[#This Row],[Categoria]],CATEGORIAS!$C:$C,CATEGORIAS!$D:$D,"")</f>
        <v>2.1 Despesas Diretas</v>
      </c>
    </row>
    <row r="614" spans="2:20" x14ac:dyDescent="0.25">
      <c r="B614"/>
      <c r="C614"/>
      <c r="D614" s="1">
        <v>46164</v>
      </c>
      <c r="E614" s="1">
        <v>46164</v>
      </c>
      <c r="F614" s="17">
        <v>46162</v>
      </c>
      <c r="G614" t="s">
        <v>184</v>
      </c>
      <c r="H614" t="s">
        <v>27</v>
      </c>
      <c r="I614" t="s">
        <v>101</v>
      </c>
      <c r="J614" s="30">
        <v>-5760</v>
      </c>
      <c r="K614" s="30">
        <v>0</v>
      </c>
      <c r="L614" s="33">
        <v>-1785.6</v>
      </c>
      <c r="M614" t="s">
        <v>185</v>
      </c>
      <c r="N614" t="s">
        <v>188</v>
      </c>
      <c r="O614" s="34" t="s">
        <v>553</v>
      </c>
      <c r="P614" t="s">
        <v>187</v>
      </c>
      <c r="Q614" t="s">
        <v>23</v>
      </c>
      <c r="R614" t="s">
        <v>23</v>
      </c>
      <c r="S614" t="s">
        <v>25</v>
      </c>
      <c r="T614" t="str">
        <f>_xlfn.XLOOKUP(Tabela14[[#This Row],[Categoria]],CATEGORIAS!$C:$C,CATEGORIAS!$D:$D,"")</f>
        <v>2.1 Despesas Diretas</v>
      </c>
    </row>
    <row r="615" spans="2:20" x14ac:dyDescent="0.25">
      <c r="B615"/>
      <c r="C615"/>
      <c r="D615" s="1">
        <v>46164</v>
      </c>
      <c r="E615" s="1">
        <v>46164</v>
      </c>
      <c r="F615" s="17">
        <v>46193</v>
      </c>
      <c r="G615" t="s">
        <v>184</v>
      </c>
      <c r="H615" t="s">
        <v>27</v>
      </c>
      <c r="I615" t="s">
        <v>101</v>
      </c>
      <c r="J615" s="30">
        <v>-5760</v>
      </c>
      <c r="K615" s="30">
        <v>0</v>
      </c>
      <c r="L615" s="33">
        <v>-1785.6</v>
      </c>
      <c r="M615" t="s">
        <v>185</v>
      </c>
      <c r="N615" t="s">
        <v>188</v>
      </c>
      <c r="O615" s="34" t="s">
        <v>553</v>
      </c>
      <c r="P615" t="s">
        <v>187</v>
      </c>
      <c r="Q615" t="s">
        <v>23</v>
      </c>
      <c r="R615" t="s">
        <v>23</v>
      </c>
      <c r="S615" t="s">
        <v>25</v>
      </c>
      <c r="T615" t="str">
        <f>_xlfn.XLOOKUP(Tabela14[[#This Row],[Categoria]],CATEGORIAS!$C:$C,CATEGORIAS!$D:$D,"")</f>
        <v>2.1 Despesas Diretas</v>
      </c>
    </row>
    <row r="616" spans="2:20" x14ac:dyDescent="0.25">
      <c r="B616"/>
      <c r="C616"/>
      <c r="D616" s="1">
        <v>46164</v>
      </c>
      <c r="E616" s="1">
        <v>46164</v>
      </c>
      <c r="F616" s="17">
        <v>46177</v>
      </c>
      <c r="G616" t="s">
        <v>184</v>
      </c>
      <c r="H616" t="s">
        <v>27</v>
      </c>
      <c r="I616" t="s">
        <v>101</v>
      </c>
      <c r="J616" s="30">
        <v>-5760</v>
      </c>
      <c r="K616" s="30">
        <v>0</v>
      </c>
      <c r="L616" s="33">
        <v>-1785.6</v>
      </c>
      <c r="M616" t="s">
        <v>185</v>
      </c>
      <c r="N616" t="s">
        <v>188</v>
      </c>
      <c r="O616" s="34" t="s">
        <v>553</v>
      </c>
      <c r="P616" t="s">
        <v>187</v>
      </c>
      <c r="Q616" t="s">
        <v>23</v>
      </c>
      <c r="R616" t="s">
        <v>23</v>
      </c>
      <c r="S616" t="s">
        <v>25</v>
      </c>
      <c r="T616" t="str">
        <f>_xlfn.XLOOKUP(Tabela14[[#This Row],[Categoria]],CATEGORIAS!$C:$C,CATEGORIAS!$D:$D,"")</f>
        <v>2.1 Despesas Diretas</v>
      </c>
    </row>
    <row r="617" spans="2:20" x14ac:dyDescent="0.25">
      <c r="B617"/>
      <c r="C617"/>
      <c r="D617" s="1">
        <v>46164</v>
      </c>
      <c r="E617" s="1">
        <v>46164</v>
      </c>
      <c r="F617" s="17">
        <v>46207</v>
      </c>
      <c r="G617" t="s">
        <v>184</v>
      </c>
      <c r="H617" t="s">
        <v>27</v>
      </c>
      <c r="I617" t="s">
        <v>101</v>
      </c>
      <c r="J617" s="30">
        <v>-5760</v>
      </c>
      <c r="K617" s="30">
        <v>0</v>
      </c>
      <c r="L617" s="33">
        <v>-1785.6</v>
      </c>
      <c r="M617" t="s">
        <v>185</v>
      </c>
      <c r="N617" t="s">
        <v>188</v>
      </c>
      <c r="O617" s="34" t="s">
        <v>553</v>
      </c>
      <c r="P617" t="s">
        <v>187</v>
      </c>
      <c r="Q617" t="s">
        <v>23</v>
      </c>
      <c r="R617" t="s">
        <v>23</v>
      </c>
      <c r="S617" t="s">
        <v>25</v>
      </c>
      <c r="T617" t="str">
        <f>_xlfn.XLOOKUP(Tabela14[[#This Row],[Categoria]],CATEGORIAS!$C:$C,CATEGORIAS!$D:$D,"")</f>
        <v>2.1 Despesas Diretas</v>
      </c>
    </row>
    <row r="618" spans="2:20" x14ac:dyDescent="0.25">
      <c r="B618"/>
      <c r="C618"/>
      <c r="D618" s="1">
        <v>46178</v>
      </c>
      <c r="E618" s="1">
        <v>46178</v>
      </c>
      <c r="F618" s="17">
        <v>46182</v>
      </c>
      <c r="G618" t="s">
        <v>184</v>
      </c>
      <c r="H618" t="s">
        <v>27</v>
      </c>
      <c r="I618" t="s">
        <v>91</v>
      </c>
      <c r="J618" s="30">
        <v>-14240</v>
      </c>
      <c r="K618" s="30">
        <v>0</v>
      </c>
      <c r="L618" s="33">
        <v>-14240</v>
      </c>
      <c r="M618" t="s">
        <v>185</v>
      </c>
      <c r="N618" t="s">
        <v>188</v>
      </c>
      <c r="O618" s="34" t="s">
        <v>561</v>
      </c>
      <c r="P618" t="s">
        <v>187</v>
      </c>
      <c r="Q618" t="s">
        <v>23</v>
      </c>
      <c r="R618" t="s">
        <v>23</v>
      </c>
      <c r="S618" t="s">
        <v>25</v>
      </c>
      <c r="T618" t="str">
        <f>_xlfn.XLOOKUP(Tabela14[[#This Row],[Categoria]],CATEGORIAS!$C:$C,CATEGORIAS!$D:$D,"")</f>
        <v>2.1 Despesas Diretas</v>
      </c>
    </row>
    <row r="619" spans="2:20" x14ac:dyDescent="0.25">
      <c r="B619"/>
      <c r="C619"/>
      <c r="D619" s="1">
        <v>46220</v>
      </c>
      <c r="E619" s="1">
        <v>46220</v>
      </c>
      <c r="F619" s="17">
        <v>46220</v>
      </c>
      <c r="G619" t="s">
        <v>184</v>
      </c>
      <c r="H619" t="s">
        <v>27</v>
      </c>
      <c r="I619" t="s">
        <v>90</v>
      </c>
      <c r="J619" s="30">
        <v>-215.93</v>
      </c>
      <c r="K619" s="30">
        <v>0</v>
      </c>
      <c r="L619" s="33">
        <v>-215.93</v>
      </c>
      <c r="M619" t="s">
        <v>185</v>
      </c>
      <c r="N619" t="s">
        <v>188</v>
      </c>
      <c r="O619" s="34" t="s">
        <v>547</v>
      </c>
      <c r="P619" t="s">
        <v>187</v>
      </c>
      <c r="Q619" t="s">
        <v>23</v>
      </c>
      <c r="R619" t="s">
        <v>23</v>
      </c>
      <c r="S619" t="s">
        <v>25</v>
      </c>
      <c r="T619" t="str">
        <f>_xlfn.XLOOKUP(Tabela14[[#This Row],[Categoria]],CATEGORIAS!$C:$C,CATEGORIAS!$D:$D,"")</f>
        <v>2.1 Despesas Diretas</v>
      </c>
    </row>
    <row r="620" spans="2:20" x14ac:dyDescent="0.25">
      <c r="B620"/>
      <c r="C620"/>
      <c r="D620" s="1">
        <v>46220</v>
      </c>
      <c r="E620" s="1">
        <v>46220</v>
      </c>
      <c r="F620" s="17">
        <v>46220</v>
      </c>
      <c r="G620" t="s">
        <v>184</v>
      </c>
      <c r="H620" t="s">
        <v>27</v>
      </c>
      <c r="I620" t="s">
        <v>90</v>
      </c>
      <c r="J620" s="30">
        <v>-4264.55</v>
      </c>
      <c r="K620" s="30">
        <v>0</v>
      </c>
      <c r="L620" s="33">
        <v>-4264.55</v>
      </c>
      <c r="M620" t="s">
        <v>185</v>
      </c>
      <c r="N620" t="s">
        <v>188</v>
      </c>
      <c r="O620" s="34" t="s">
        <v>552</v>
      </c>
      <c r="P620" t="s">
        <v>187</v>
      </c>
      <c r="Q620" t="s">
        <v>23</v>
      </c>
      <c r="R620" t="s">
        <v>23</v>
      </c>
      <c r="S620" t="s">
        <v>25</v>
      </c>
      <c r="T620" t="str">
        <f>_xlfn.XLOOKUP(Tabela14[[#This Row],[Categoria]],CATEGORIAS!$C:$C,CATEGORIAS!$D:$D,"")</f>
        <v>2.1 Despesas Diretas</v>
      </c>
    </row>
    <row r="621" spans="2:20" x14ac:dyDescent="0.25">
      <c r="B621"/>
      <c r="C621"/>
      <c r="D621" s="1">
        <v>46220</v>
      </c>
      <c r="E621" s="1">
        <v>46220</v>
      </c>
      <c r="F621" s="17">
        <v>46220</v>
      </c>
      <c r="G621" t="s">
        <v>184</v>
      </c>
      <c r="H621" t="s">
        <v>27</v>
      </c>
      <c r="I621" t="s">
        <v>90</v>
      </c>
      <c r="J621" s="30">
        <v>-204.72</v>
      </c>
      <c r="K621" s="30">
        <v>0</v>
      </c>
      <c r="L621" s="33">
        <v>-204.72</v>
      </c>
      <c r="M621" t="s">
        <v>185</v>
      </c>
      <c r="N621" t="s">
        <v>188</v>
      </c>
      <c r="O621" s="34" t="s">
        <v>548</v>
      </c>
      <c r="P621" t="s">
        <v>187</v>
      </c>
      <c r="Q621" t="s">
        <v>23</v>
      </c>
      <c r="R621" t="s">
        <v>23</v>
      </c>
      <c r="S621" t="s">
        <v>25</v>
      </c>
      <c r="T621" t="str">
        <f>_xlfn.XLOOKUP(Tabela14[[#This Row],[Categoria]],CATEGORIAS!$C:$C,CATEGORIAS!$D:$D,"")</f>
        <v>2.1 Despesas Diretas</v>
      </c>
    </row>
    <row r="622" spans="2:20" x14ac:dyDescent="0.25">
      <c r="B622"/>
      <c r="C622"/>
      <c r="D622" s="1">
        <v>46192</v>
      </c>
      <c r="E622" s="1">
        <v>46192</v>
      </c>
      <c r="F622" s="17">
        <v>46192</v>
      </c>
      <c r="G622" t="s">
        <v>184</v>
      </c>
      <c r="H622" t="s">
        <v>27</v>
      </c>
      <c r="I622" t="s">
        <v>90</v>
      </c>
      <c r="J622" s="30">
        <v>-4264.55</v>
      </c>
      <c r="K622" s="30">
        <v>0</v>
      </c>
      <c r="L622" s="33">
        <v>-4264.55</v>
      </c>
      <c r="M622" t="s">
        <v>185</v>
      </c>
      <c r="N622" t="s">
        <v>188</v>
      </c>
      <c r="O622" s="34" t="s">
        <v>552</v>
      </c>
      <c r="P622" t="s">
        <v>187</v>
      </c>
      <c r="Q622" t="s">
        <v>23</v>
      </c>
      <c r="R622" t="s">
        <v>23</v>
      </c>
      <c r="S622" t="s">
        <v>25</v>
      </c>
      <c r="T622" t="str">
        <f>_xlfn.XLOOKUP(Tabela14[[#This Row],[Categoria]],CATEGORIAS!$C:$C,CATEGORIAS!$D:$D,"")</f>
        <v>2.1 Despesas Diretas</v>
      </c>
    </row>
    <row r="623" spans="2:20" x14ac:dyDescent="0.25">
      <c r="B623"/>
      <c r="C623"/>
      <c r="D623" s="1">
        <v>46192</v>
      </c>
      <c r="E623" s="1">
        <v>46192</v>
      </c>
      <c r="F623" s="17">
        <v>46192</v>
      </c>
      <c r="G623" t="s">
        <v>184</v>
      </c>
      <c r="H623" t="s">
        <v>27</v>
      </c>
      <c r="I623" t="s">
        <v>90</v>
      </c>
      <c r="J623" s="30">
        <v>-204.72</v>
      </c>
      <c r="K623" s="30">
        <v>0</v>
      </c>
      <c r="L623" s="33">
        <v>-204.72</v>
      </c>
      <c r="M623" t="s">
        <v>185</v>
      </c>
      <c r="N623" t="s">
        <v>188</v>
      </c>
      <c r="O623" s="34" t="s">
        <v>548</v>
      </c>
      <c r="P623" t="s">
        <v>187</v>
      </c>
      <c r="Q623" t="s">
        <v>23</v>
      </c>
      <c r="R623" t="s">
        <v>23</v>
      </c>
      <c r="S623" t="s">
        <v>25</v>
      </c>
      <c r="T623" t="str">
        <f>_xlfn.XLOOKUP(Tabela14[[#This Row],[Categoria]],CATEGORIAS!$C:$C,CATEGORIAS!$D:$D,"")</f>
        <v>2.1 Despesas Diretas</v>
      </c>
    </row>
    <row r="624" spans="2:20" x14ac:dyDescent="0.25">
      <c r="B624"/>
      <c r="C624"/>
      <c r="D624" s="1">
        <v>46192</v>
      </c>
      <c r="E624" s="1">
        <v>46192</v>
      </c>
      <c r="F624" s="17">
        <v>46192</v>
      </c>
      <c r="G624" t="s">
        <v>184</v>
      </c>
      <c r="H624" t="s">
        <v>27</v>
      </c>
      <c r="I624" t="s">
        <v>90</v>
      </c>
      <c r="J624" s="30">
        <v>-215.93</v>
      </c>
      <c r="K624" s="30">
        <v>0</v>
      </c>
      <c r="L624" s="33">
        <v>-215.93</v>
      </c>
      <c r="M624" t="s">
        <v>185</v>
      </c>
      <c r="N624" t="s">
        <v>188</v>
      </c>
      <c r="O624" s="34" t="s">
        <v>547</v>
      </c>
      <c r="P624" t="s">
        <v>187</v>
      </c>
      <c r="Q624" t="s">
        <v>23</v>
      </c>
      <c r="R624" t="s">
        <v>23</v>
      </c>
      <c r="S624" t="s">
        <v>25</v>
      </c>
      <c r="T624" t="str">
        <f>_xlfn.XLOOKUP(Tabela14[[#This Row],[Categoria]],CATEGORIAS!$C:$C,CATEGORIAS!$D:$D,"")</f>
        <v>2.1 Despesas Diretas</v>
      </c>
    </row>
    <row r="625" spans="2:20" x14ac:dyDescent="0.25">
      <c r="B625"/>
      <c r="C625"/>
      <c r="D625" s="1">
        <v>46192</v>
      </c>
      <c r="E625" s="1">
        <v>46192</v>
      </c>
      <c r="F625" s="17">
        <v>46196</v>
      </c>
      <c r="G625" t="s">
        <v>184</v>
      </c>
      <c r="H625" t="s">
        <v>27</v>
      </c>
      <c r="I625" t="s">
        <v>91</v>
      </c>
      <c r="J625" s="30">
        <v>-16195.2</v>
      </c>
      <c r="K625" s="30">
        <v>0</v>
      </c>
      <c r="L625" s="33">
        <v>-16195.2</v>
      </c>
      <c r="M625" t="s">
        <v>185</v>
      </c>
      <c r="N625" t="s">
        <v>188</v>
      </c>
      <c r="O625" s="34" t="s">
        <v>561</v>
      </c>
      <c r="P625" t="s">
        <v>187</v>
      </c>
      <c r="Q625" t="s">
        <v>23</v>
      </c>
      <c r="R625" t="s">
        <v>23</v>
      </c>
      <c r="S625" t="s">
        <v>25</v>
      </c>
      <c r="T625" t="str">
        <f>_xlfn.XLOOKUP(Tabela14[[#This Row],[Categoria]],CATEGORIAS!$C:$C,CATEGORIAS!$D:$D,"")</f>
        <v>2.1 Despesas Diretas</v>
      </c>
    </row>
    <row r="626" spans="2:20" x14ac:dyDescent="0.25">
      <c r="B626"/>
      <c r="C626"/>
      <c r="D626" s="1">
        <v>46150</v>
      </c>
      <c r="E626" s="1">
        <v>46150</v>
      </c>
      <c r="F626" s="17">
        <v>46148</v>
      </c>
      <c r="G626" t="s">
        <v>184</v>
      </c>
      <c r="H626" t="s">
        <v>27</v>
      </c>
      <c r="I626" t="s">
        <v>100</v>
      </c>
      <c r="J626" s="30">
        <v>-57600</v>
      </c>
      <c r="K626" s="30">
        <v>0</v>
      </c>
      <c r="L626" s="33">
        <v>-8866.6666666666661</v>
      </c>
      <c r="M626" t="s">
        <v>185</v>
      </c>
      <c r="N626" t="s">
        <v>207</v>
      </c>
      <c r="O626" s="34" t="s">
        <v>554</v>
      </c>
      <c r="P626" t="s">
        <v>187</v>
      </c>
      <c r="Q626" t="s">
        <v>23</v>
      </c>
      <c r="R626" t="s">
        <v>23</v>
      </c>
      <c r="S626" t="s">
        <v>25</v>
      </c>
      <c r="T626" t="str">
        <f>_xlfn.XLOOKUP(Tabela14[[#This Row],[Categoria]],CATEGORIAS!$C:$C,CATEGORIAS!$D:$D,"")</f>
        <v>2.1 Despesas Diretas</v>
      </c>
    </row>
    <row r="627" spans="2:20" x14ac:dyDescent="0.25">
      <c r="B627"/>
      <c r="C627"/>
      <c r="D627" s="1">
        <v>46150</v>
      </c>
      <c r="E627" s="1">
        <v>46150</v>
      </c>
      <c r="F627" s="17">
        <v>46168</v>
      </c>
      <c r="G627" t="s">
        <v>184</v>
      </c>
      <c r="H627" t="s">
        <v>27</v>
      </c>
      <c r="I627" t="s">
        <v>100</v>
      </c>
      <c r="J627" s="30">
        <v>-57600</v>
      </c>
      <c r="K627" s="30">
        <v>0</v>
      </c>
      <c r="L627" s="33">
        <v>-8866.6666666666661</v>
      </c>
      <c r="M627" t="s">
        <v>185</v>
      </c>
      <c r="N627" t="s">
        <v>207</v>
      </c>
      <c r="O627" s="34" t="s">
        <v>554</v>
      </c>
      <c r="P627" t="s">
        <v>187</v>
      </c>
      <c r="Q627" t="s">
        <v>23</v>
      </c>
      <c r="R627" t="s">
        <v>23</v>
      </c>
      <c r="S627" t="s">
        <v>25</v>
      </c>
      <c r="T627" t="str">
        <f>_xlfn.XLOOKUP(Tabela14[[#This Row],[Categoria]],CATEGORIAS!$C:$C,CATEGORIAS!$D:$D,"")</f>
        <v>2.1 Despesas Diretas</v>
      </c>
    </row>
    <row r="628" spans="2:20" x14ac:dyDescent="0.25">
      <c r="B628"/>
      <c r="C628"/>
      <c r="D628" s="1">
        <v>46150</v>
      </c>
      <c r="E628" s="1">
        <v>46150</v>
      </c>
      <c r="F628" s="17">
        <v>46182</v>
      </c>
      <c r="G628" t="s">
        <v>184</v>
      </c>
      <c r="H628" t="s">
        <v>27</v>
      </c>
      <c r="I628" t="s">
        <v>100</v>
      </c>
      <c r="J628" s="30">
        <v>-57600</v>
      </c>
      <c r="K628" s="30">
        <v>0</v>
      </c>
      <c r="L628" s="33">
        <v>-8866.6666666666661</v>
      </c>
      <c r="M628" t="s">
        <v>185</v>
      </c>
      <c r="N628" t="s">
        <v>207</v>
      </c>
      <c r="O628" s="34" t="s">
        <v>554</v>
      </c>
      <c r="P628" t="s">
        <v>187</v>
      </c>
      <c r="Q628" t="s">
        <v>23</v>
      </c>
      <c r="R628" t="s">
        <v>23</v>
      </c>
      <c r="S628" t="s">
        <v>25</v>
      </c>
      <c r="T628" t="str">
        <f>_xlfn.XLOOKUP(Tabela14[[#This Row],[Categoria]],CATEGORIAS!$C:$C,CATEGORIAS!$D:$D,"")</f>
        <v>2.1 Despesas Diretas</v>
      </c>
    </row>
    <row r="629" spans="2:20" x14ac:dyDescent="0.25">
      <c r="B629"/>
      <c r="C629"/>
      <c r="D629" s="1">
        <v>46150</v>
      </c>
      <c r="E629" s="1">
        <v>46150</v>
      </c>
      <c r="F629" s="17">
        <v>46163</v>
      </c>
      <c r="G629" t="s">
        <v>184</v>
      </c>
      <c r="H629" t="s">
        <v>27</v>
      </c>
      <c r="I629" t="s">
        <v>100</v>
      </c>
      <c r="J629" s="30">
        <v>-57600</v>
      </c>
      <c r="K629" s="30">
        <v>0</v>
      </c>
      <c r="L629" s="33">
        <v>-7233.333333333333</v>
      </c>
      <c r="M629" t="s">
        <v>185</v>
      </c>
      <c r="N629" t="s">
        <v>207</v>
      </c>
      <c r="O629" s="34" t="s">
        <v>554</v>
      </c>
      <c r="P629" t="s">
        <v>187</v>
      </c>
      <c r="Q629" t="s">
        <v>23</v>
      </c>
      <c r="R629" t="s">
        <v>23</v>
      </c>
      <c r="S629" t="s">
        <v>25</v>
      </c>
      <c r="T629" t="str">
        <f>_xlfn.XLOOKUP(Tabela14[[#This Row],[Categoria]],CATEGORIAS!$C:$C,CATEGORIAS!$D:$D,"")</f>
        <v>2.1 Despesas Diretas</v>
      </c>
    </row>
    <row r="630" spans="2:20" x14ac:dyDescent="0.25">
      <c r="B630"/>
      <c r="C630"/>
      <c r="D630" s="1">
        <v>46150</v>
      </c>
      <c r="E630" s="1">
        <v>46150</v>
      </c>
      <c r="F630" s="17">
        <v>46182</v>
      </c>
      <c r="G630" t="s">
        <v>184</v>
      </c>
      <c r="H630" t="s">
        <v>27</v>
      </c>
      <c r="I630" t="s">
        <v>100</v>
      </c>
      <c r="J630" s="30">
        <v>-57600</v>
      </c>
      <c r="K630" s="30">
        <v>0</v>
      </c>
      <c r="L630" s="33">
        <v>-7233.333333333333</v>
      </c>
      <c r="M630" t="s">
        <v>185</v>
      </c>
      <c r="N630" t="s">
        <v>207</v>
      </c>
      <c r="O630" s="34" t="s">
        <v>554</v>
      </c>
      <c r="P630" t="s">
        <v>187</v>
      </c>
      <c r="Q630" t="s">
        <v>23</v>
      </c>
      <c r="R630" t="s">
        <v>23</v>
      </c>
      <c r="S630" t="s">
        <v>25</v>
      </c>
      <c r="T630" t="str">
        <f>_xlfn.XLOOKUP(Tabela14[[#This Row],[Categoria]],CATEGORIAS!$C:$C,CATEGORIAS!$D:$D,"")</f>
        <v>2.1 Despesas Diretas</v>
      </c>
    </row>
    <row r="631" spans="2:20" x14ac:dyDescent="0.25">
      <c r="B631"/>
      <c r="C631"/>
      <c r="D631" s="1">
        <v>46150</v>
      </c>
      <c r="E631" s="1">
        <v>46150</v>
      </c>
      <c r="F631" s="17">
        <v>46196</v>
      </c>
      <c r="G631" t="s">
        <v>184</v>
      </c>
      <c r="H631" t="s">
        <v>27</v>
      </c>
      <c r="I631" t="s">
        <v>100</v>
      </c>
      <c r="J631" s="30">
        <v>-57600</v>
      </c>
      <c r="K631" s="30">
        <v>0</v>
      </c>
      <c r="L631" s="33">
        <v>-7233.333333333333</v>
      </c>
      <c r="M631" t="s">
        <v>185</v>
      </c>
      <c r="N631" t="s">
        <v>207</v>
      </c>
      <c r="O631" s="34" t="s">
        <v>554</v>
      </c>
      <c r="P631" t="s">
        <v>187</v>
      </c>
      <c r="Q631" t="s">
        <v>23</v>
      </c>
      <c r="R631" t="s">
        <v>23</v>
      </c>
      <c r="S631" t="s">
        <v>25</v>
      </c>
      <c r="T631" t="str">
        <f>_xlfn.XLOOKUP(Tabela14[[#This Row],[Categoria]],CATEGORIAS!$C:$C,CATEGORIAS!$D:$D,"")</f>
        <v>2.1 Despesas Diretas</v>
      </c>
    </row>
    <row r="632" spans="2:20" x14ac:dyDescent="0.25">
      <c r="B632"/>
      <c r="C632"/>
      <c r="D632" s="1">
        <v>46150</v>
      </c>
      <c r="E632" s="1">
        <v>46150</v>
      </c>
      <c r="F632" s="17">
        <v>46177</v>
      </c>
      <c r="G632" t="s">
        <v>184</v>
      </c>
      <c r="H632" t="s">
        <v>27</v>
      </c>
      <c r="I632" t="s">
        <v>100</v>
      </c>
      <c r="J632" s="30">
        <v>-57600</v>
      </c>
      <c r="K632" s="30">
        <v>0</v>
      </c>
      <c r="L632" s="33">
        <v>-7233.333333333333</v>
      </c>
      <c r="M632" t="s">
        <v>185</v>
      </c>
      <c r="N632" t="s">
        <v>207</v>
      </c>
      <c r="O632" s="34" t="s">
        <v>554</v>
      </c>
      <c r="P632" t="s">
        <v>187</v>
      </c>
      <c r="Q632" t="s">
        <v>23</v>
      </c>
      <c r="R632" t="s">
        <v>23</v>
      </c>
      <c r="S632" t="s">
        <v>25</v>
      </c>
      <c r="T632" t="str">
        <f>_xlfn.XLOOKUP(Tabela14[[#This Row],[Categoria]],CATEGORIAS!$C:$C,CATEGORIAS!$D:$D,"")</f>
        <v>2.1 Despesas Diretas</v>
      </c>
    </row>
    <row r="633" spans="2:20" x14ac:dyDescent="0.25">
      <c r="B633"/>
      <c r="C633"/>
      <c r="D633" s="1">
        <v>46150</v>
      </c>
      <c r="E633" s="1">
        <v>46150</v>
      </c>
      <c r="F633" s="17">
        <v>46196</v>
      </c>
      <c r="G633" t="s">
        <v>184</v>
      </c>
      <c r="H633" t="s">
        <v>27</v>
      </c>
      <c r="I633" t="s">
        <v>100</v>
      </c>
      <c r="J633" s="30">
        <v>-57600</v>
      </c>
      <c r="K633" s="30">
        <v>0</v>
      </c>
      <c r="L633" s="33">
        <v>-7233.333333333333</v>
      </c>
      <c r="M633" t="s">
        <v>185</v>
      </c>
      <c r="N633" t="s">
        <v>207</v>
      </c>
      <c r="O633" s="34" t="s">
        <v>554</v>
      </c>
      <c r="P633" t="s">
        <v>187</v>
      </c>
      <c r="Q633" t="s">
        <v>23</v>
      </c>
      <c r="R633" t="s">
        <v>23</v>
      </c>
      <c r="S633" t="s">
        <v>25</v>
      </c>
      <c r="T633" t="str">
        <f>_xlfn.XLOOKUP(Tabela14[[#This Row],[Categoria]],CATEGORIAS!$C:$C,CATEGORIAS!$D:$D,"")</f>
        <v>2.1 Despesas Diretas</v>
      </c>
    </row>
    <row r="634" spans="2:20" x14ac:dyDescent="0.25">
      <c r="B634"/>
      <c r="C634"/>
      <c r="D634" s="1">
        <v>46150</v>
      </c>
      <c r="E634" s="1">
        <v>46150</v>
      </c>
      <c r="F634" s="17">
        <v>46210</v>
      </c>
      <c r="G634" t="s">
        <v>184</v>
      </c>
      <c r="H634" t="s">
        <v>27</v>
      </c>
      <c r="I634" t="s">
        <v>100</v>
      </c>
      <c r="J634" s="30">
        <v>-57600</v>
      </c>
      <c r="K634" s="30">
        <v>0</v>
      </c>
      <c r="L634" s="33">
        <v>-7233.333333333333</v>
      </c>
      <c r="M634" t="s">
        <v>185</v>
      </c>
      <c r="N634" t="s">
        <v>207</v>
      </c>
      <c r="O634" s="34" t="s">
        <v>554</v>
      </c>
      <c r="P634" t="s">
        <v>187</v>
      </c>
      <c r="Q634" t="s">
        <v>23</v>
      </c>
      <c r="R634" t="s">
        <v>23</v>
      </c>
      <c r="S634" t="s">
        <v>25</v>
      </c>
      <c r="T634" t="str">
        <f>_xlfn.XLOOKUP(Tabela14[[#This Row],[Categoria]],CATEGORIAS!$C:$C,CATEGORIAS!$D:$D,"")</f>
        <v>2.1 Despesas Diretas</v>
      </c>
    </row>
    <row r="635" spans="2:20" x14ac:dyDescent="0.25">
      <c r="B635"/>
      <c r="C635"/>
      <c r="D635" s="1">
        <v>46150</v>
      </c>
      <c r="E635" s="1">
        <v>46150</v>
      </c>
      <c r="F635" s="17">
        <v>46154</v>
      </c>
      <c r="G635" t="s">
        <v>184</v>
      </c>
      <c r="H635" t="s">
        <v>27</v>
      </c>
      <c r="I635" t="s">
        <v>102</v>
      </c>
      <c r="J635" s="31">
        <v>-38016</v>
      </c>
      <c r="K635" s="31">
        <v>0</v>
      </c>
      <c r="L635" s="33">
        <v>-12438.058666666666</v>
      </c>
      <c r="M635" t="s">
        <v>185</v>
      </c>
      <c r="N635" t="s">
        <v>207</v>
      </c>
      <c r="O635" s="34" t="s">
        <v>555</v>
      </c>
      <c r="P635" t="s">
        <v>187</v>
      </c>
      <c r="Q635" t="s">
        <v>23</v>
      </c>
      <c r="R635" t="s">
        <v>23</v>
      </c>
      <c r="S635" t="s">
        <v>25</v>
      </c>
      <c r="T635" t="str">
        <f>_xlfn.XLOOKUP(Tabela14[[#This Row],[Categoria]],CATEGORIAS!$C:$C,CATEGORIAS!$D:$D,"")</f>
        <v>2.1 Despesas Diretas</v>
      </c>
    </row>
    <row r="636" spans="2:20" x14ac:dyDescent="0.25">
      <c r="B636"/>
      <c r="C636"/>
      <c r="D636" s="1">
        <v>46150</v>
      </c>
      <c r="E636" s="1">
        <v>46150</v>
      </c>
      <c r="F636" s="17">
        <v>46120</v>
      </c>
      <c r="G636" t="s">
        <v>184</v>
      </c>
      <c r="H636" t="s">
        <v>27</v>
      </c>
      <c r="I636" t="s">
        <v>100</v>
      </c>
      <c r="J636" s="30">
        <v>-79360</v>
      </c>
      <c r="K636" s="30">
        <v>0</v>
      </c>
      <c r="L636" s="33">
        <v>-28560</v>
      </c>
      <c r="M636" t="s">
        <v>185</v>
      </c>
      <c r="N636" t="s">
        <v>207</v>
      </c>
      <c r="O636" s="34" t="s">
        <v>556</v>
      </c>
      <c r="P636" t="s">
        <v>187</v>
      </c>
      <c r="Q636" t="s">
        <v>23</v>
      </c>
      <c r="R636" t="s">
        <v>23</v>
      </c>
      <c r="S636" t="s">
        <v>25</v>
      </c>
      <c r="T636" t="str">
        <f>_xlfn.XLOOKUP(Tabela14[[#This Row],[Categoria]],CATEGORIAS!$C:$C,CATEGORIAS!$D:$D,"")</f>
        <v>2.1 Despesas Diretas</v>
      </c>
    </row>
    <row r="637" spans="2:20" x14ac:dyDescent="0.25">
      <c r="B637"/>
      <c r="C637"/>
      <c r="D637" s="1">
        <v>46150</v>
      </c>
      <c r="E637" s="1">
        <v>46150</v>
      </c>
      <c r="F637" s="17">
        <v>46168</v>
      </c>
      <c r="G637" t="s">
        <v>184</v>
      </c>
      <c r="H637" t="s">
        <v>27</v>
      </c>
      <c r="I637" t="s">
        <v>100</v>
      </c>
      <c r="J637" s="30">
        <v>-79360</v>
      </c>
      <c r="K637" s="30">
        <v>0</v>
      </c>
      <c r="L637" s="33">
        <v>-53040</v>
      </c>
      <c r="M637" t="s">
        <v>185</v>
      </c>
      <c r="N637" t="s">
        <v>207</v>
      </c>
      <c r="O637" s="34" t="s">
        <v>556</v>
      </c>
      <c r="P637" t="s">
        <v>187</v>
      </c>
      <c r="Q637" t="s">
        <v>23</v>
      </c>
      <c r="R637" t="s">
        <v>23</v>
      </c>
      <c r="S637" t="s">
        <v>25</v>
      </c>
      <c r="T637" t="str">
        <f>_xlfn.XLOOKUP(Tabela14[[#This Row],[Categoria]],CATEGORIAS!$C:$C,CATEGORIAS!$D:$D,"")</f>
        <v>2.1 Despesas Diretas</v>
      </c>
    </row>
    <row r="638" spans="2:20" x14ac:dyDescent="0.25">
      <c r="B638"/>
      <c r="C638"/>
      <c r="D638" s="1">
        <v>46150</v>
      </c>
      <c r="E638" s="1">
        <v>46150</v>
      </c>
      <c r="F638" s="17">
        <v>46132</v>
      </c>
      <c r="G638" t="s">
        <v>184</v>
      </c>
      <c r="H638" t="s">
        <v>27</v>
      </c>
      <c r="I638" t="s">
        <v>100</v>
      </c>
      <c r="J638" s="30">
        <v>-79360</v>
      </c>
      <c r="K638" s="30">
        <v>0</v>
      </c>
      <c r="L638" s="19">
        <v>-23800</v>
      </c>
      <c r="M638" t="s">
        <v>185</v>
      </c>
      <c r="N638" t="s">
        <v>207</v>
      </c>
      <c r="O638" s="34" t="s">
        <v>556</v>
      </c>
      <c r="P638" t="s">
        <v>187</v>
      </c>
      <c r="Q638" t="s">
        <v>23</v>
      </c>
      <c r="R638" t="s">
        <v>23</v>
      </c>
      <c r="S638" t="s">
        <v>25</v>
      </c>
      <c r="T638" t="str">
        <f>_xlfn.XLOOKUP(Tabela14[[#This Row],[Categoria]],CATEGORIAS!$C:$C,CATEGORIAS!$D:$D,"")</f>
        <v>2.1 Despesas Diretas</v>
      </c>
    </row>
    <row r="639" spans="2:20" x14ac:dyDescent="0.25">
      <c r="B639"/>
      <c r="C639"/>
      <c r="D639" s="1">
        <v>46150</v>
      </c>
      <c r="E639" s="1">
        <v>46150</v>
      </c>
      <c r="F639" s="17">
        <v>46182</v>
      </c>
      <c r="G639" t="s">
        <v>184</v>
      </c>
      <c r="H639" t="s">
        <v>27</v>
      </c>
      <c r="I639" t="s">
        <v>100</v>
      </c>
      <c r="J639" s="30">
        <v>-79360</v>
      </c>
      <c r="K639" s="30">
        <v>0</v>
      </c>
      <c r="L639" s="19">
        <v>-44200</v>
      </c>
      <c r="M639" t="s">
        <v>185</v>
      </c>
      <c r="N639" t="s">
        <v>207</v>
      </c>
      <c r="O639" s="34" t="s">
        <v>556</v>
      </c>
      <c r="P639" t="s">
        <v>187</v>
      </c>
      <c r="Q639" t="s">
        <v>23</v>
      </c>
      <c r="R639" t="s">
        <v>23</v>
      </c>
      <c r="S639" t="s">
        <v>25</v>
      </c>
      <c r="T639" t="str">
        <f>_xlfn.XLOOKUP(Tabela14[[#This Row],[Categoria]],CATEGORIAS!$C:$C,CATEGORIAS!$D:$D,"")</f>
        <v>2.1 Despesas Diretas</v>
      </c>
    </row>
    <row r="640" spans="2:20" x14ac:dyDescent="0.25">
      <c r="B640"/>
      <c r="C640"/>
      <c r="D640" s="1">
        <v>46150</v>
      </c>
      <c r="E640" s="1">
        <v>46150</v>
      </c>
      <c r="F640" s="17">
        <v>46142</v>
      </c>
      <c r="G640" t="s">
        <v>184</v>
      </c>
      <c r="H640" t="s">
        <v>27</v>
      </c>
      <c r="I640" t="s">
        <v>100</v>
      </c>
      <c r="J640" s="30">
        <v>-79360</v>
      </c>
      <c r="K640" s="30">
        <v>0</v>
      </c>
      <c r="L640" s="19">
        <v>-23800</v>
      </c>
      <c r="M640" t="s">
        <v>185</v>
      </c>
      <c r="N640" t="s">
        <v>207</v>
      </c>
      <c r="O640" s="34" t="s">
        <v>556</v>
      </c>
      <c r="P640" t="s">
        <v>187</v>
      </c>
      <c r="Q640" t="s">
        <v>23</v>
      </c>
      <c r="R640" t="s">
        <v>23</v>
      </c>
      <c r="S640" t="s">
        <v>25</v>
      </c>
      <c r="T640" t="str">
        <f>_xlfn.XLOOKUP(Tabela14[[#This Row],[Categoria]],CATEGORIAS!$C:$C,CATEGORIAS!$D:$D,"")</f>
        <v>2.1 Despesas Diretas</v>
      </c>
    </row>
    <row r="641" spans="2:20" x14ac:dyDescent="0.25">
      <c r="B641"/>
      <c r="C641"/>
      <c r="D641" s="1">
        <v>46150</v>
      </c>
      <c r="E641" s="1">
        <v>46150</v>
      </c>
      <c r="F641" s="17">
        <v>46196</v>
      </c>
      <c r="G641" t="s">
        <v>184</v>
      </c>
      <c r="H641" t="s">
        <v>27</v>
      </c>
      <c r="I641" t="s">
        <v>100</v>
      </c>
      <c r="J641" s="30">
        <v>-79360</v>
      </c>
      <c r="K641" s="30">
        <v>0</v>
      </c>
      <c r="L641" s="19">
        <v>-44200</v>
      </c>
      <c r="M641" t="s">
        <v>185</v>
      </c>
      <c r="N641" t="s">
        <v>207</v>
      </c>
      <c r="O641" s="34" t="s">
        <v>556</v>
      </c>
      <c r="P641" t="s">
        <v>187</v>
      </c>
      <c r="Q641" t="s">
        <v>23</v>
      </c>
      <c r="R641" t="s">
        <v>23</v>
      </c>
      <c r="S641" t="s">
        <v>25</v>
      </c>
      <c r="T641" t="str">
        <f>_xlfn.XLOOKUP(Tabela14[[#This Row],[Categoria]],CATEGORIAS!$C:$C,CATEGORIAS!$D:$D,"")</f>
        <v>2.1 Despesas Diretas</v>
      </c>
    </row>
    <row r="642" spans="2:20" x14ac:dyDescent="0.25">
      <c r="B642"/>
      <c r="C642"/>
      <c r="D642" s="1">
        <v>46150</v>
      </c>
      <c r="E642" s="1">
        <v>46150</v>
      </c>
      <c r="F642" s="17">
        <v>46154</v>
      </c>
      <c r="G642" t="s">
        <v>184</v>
      </c>
      <c r="H642" t="s">
        <v>27</v>
      </c>
      <c r="I642" t="s">
        <v>91</v>
      </c>
      <c r="J642" s="30">
        <v>-9004.7999999999993</v>
      </c>
      <c r="K642" s="30">
        <v>0</v>
      </c>
      <c r="L642" s="33">
        <v>-9004.7999999999993</v>
      </c>
      <c r="M642" t="s">
        <v>185</v>
      </c>
      <c r="N642" t="s">
        <v>207</v>
      </c>
      <c r="O642" s="34" t="s">
        <v>557</v>
      </c>
      <c r="P642" t="s">
        <v>187</v>
      </c>
      <c r="Q642" t="s">
        <v>23</v>
      </c>
      <c r="R642" t="s">
        <v>23</v>
      </c>
      <c r="S642" t="s">
        <v>25</v>
      </c>
      <c r="T642" t="str">
        <f>_xlfn.XLOOKUP(Tabela14[[#This Row],[Categoria]],CATEGORIAS!$C:$C,CATEGORIAS!$D:$D,"")</f>
        <v>2.1 Despesas Diretas</v>
      </c>
    </row>
    <row r="643" spans="2:20" x14ac:dyDescent="0.25">
      <c r="B643"/>
      <c r="C643"/>
      <c r="D643" s="1">
        <v>46150</v>
      </c>
      <c r="E643" s="1">
        <v>46150</v>
      </c>
      <c r="F643" s="17">
        <v>46168</v>
      </c>
      <c r="G643" t="s">
        <v>184</v>
      </c>
      <c r="H643" t="s">
        <v>27</v>
      </c>
      <c r="I643" t="s">
        <v>102</v>
      </c>
      <c r="J643" s="30">
        <v>-6892.8</v>
      </c>
      <c r="K643" s="30">
        <v>0</v>
      </c>
      <c r="L643" s="33">
        <v>-12438.058666666666</v>
      </c>
      <c r="M643" t="s">
        <v>185</v>
      </c>
      <c r="N643" t="s">
        <v>207</v>
      </c>
      <c r="O643" s="34" t="s">
        <v>555</v>
      </c>
      <c r="P643" t="s">
        <v>187</v>
      </c>
      <c r="Q643" t="s">
        <v>23</v>
      </c>
      <c r="R643" t="s">
        <v>23</v>
      </c>
      <c r="S643" t="s">
        <v>25</v>
      </c>
      <c r="T643" t="str">
        <f>_xlfn.XLOOKUP(Tabela14[[#This Row],[Categoria]],CATEGORIAS!$C:$C,CATEGORIAS!$D:$D,"")</f>
        <v>2.1 Despesas Diretas</v>
      </c>
    </row>
    <row r="644" spans="2:20" x14ac:dyDescent="0.25">
      <c r="B644"/>
      <c r="C644"/>
      <c r="D644" s="1">
        <v>46136</v>
      </c>
      <c r="E644" s="1">
        <v>46136</v>
      </c>
      <c r="F644" s="17">
        <v>46140</v>
      </c>
      <c r="G644" t="s">
        <v>184</v>
      </c>
      <c r="H644" t="s">
        <v>27</v>
      </c>
      <c r="I644" t="s">
        <v>91</v>
      </c>
      <c r="J644" s="30">
        <v>-8995.2000000000007</v>
      </c>
      <c r="K644" s="30">
        <v>0</v>
      </c>
      <c r="L644" s="33">
        <v>-8995.2000000000007</v>
      </c>
      <c r="M644" t="s">
        <v>185</v>
      </c>
      <c r="N644" t="s">
        <v>207</v>
      </c>
      <c r="O644" s="34" t="s">
        <v>557</v>
      </c>
      <c r="P644" t="s">
        <v>187</v>
      </c>
      <c r="Q644" t="s">
        <v>23</v>
      </c>
      <c r="R644" t="s">
        <v>23</v>
      </c>
      <c r="S644" t="s">
        <v>25</v>
      </c>
      <c r="T644" t="str">
        <f>_xlfn.XLOOKUP(Tabela14[[#This Row],[Categoria]],CATEGORIAS!$C:$C,CATEGORIAS!$D:$D,"")</f>
        <v>2.1 Despesas Diretas</v>
      </c>
    </row>
    <row r="645" spans="2:20" x14ac:dyDescent="0.25">
      <c r="B645"/>
      <c r="C645"/>
      <c r="D645" s="1">
        <v>46164</v>
      </c>
      <c r="E645" s="1">
        <v>46164</v>
      </c>
      <c r="F645" s="17">
        <v>46168</v>
      </c>
      <c r="G645" t="s">
        <v>184</v>
      </c>
      <c r="H645" t="s">
        <v>27</v>
      </c>
      <c r="I645" t="s">
        <v>91</v>
      </c>
      <c r="J645" s="31">
        <v>-32347.200000000001</v>
      </c>
      <c r="K645" s="31">
        <v>0</v>
      </c>
      <c r="L645" s="33">
        <v>-32347.200000000001</v>
      </c>
      <c r="M645" t="s">
        <v>185</v>
      </c>
      <c r="N645" t="s">
        <v>207</v>
      </c>
      <c r="O645" s="34" t="s">
        <v>557</v>
      </c>
      <c r="P645" t="s">
        <v>187</v>
      </c>
      <c r="Q645" t="s">
        <v>23</v>
      </c>
      <c r="R645" t="s">
        <v>23</v>
      </c>
      <c r="S645" t="s">
        <v>25</v>
      </c>
      <c r="T645" t="str">
        <f>_xlfn.XLOOKUP(Tabela14[[#This Row],[Categoria]],CATEGORIAS!$C:$C,CATEGORIAS!$D:$D,"")</f>
        <v>2.1 Despesas Diretas</v>
      </c>
    </row>
    <row r="646" spans="2:20" x14ac:dyDescent="0.25">
      <c r="B646"/>
      <c r="C646"/>
      <c r="D646" s="1">
        <v>46178</v>
      </c>
      <c r="E646" s="1">
        <v>46178</v>
      </c>
      <c r="F646" s="17">
        <v>46182</v>
      </c>
      <c r="G646" t="s">
        <v>184</v>
      </c>
      <c r="H646" t="s">
        <v>27</v>
      </c>
      <c r="I646" t="s">
        <v>91</v>
      </c>
      <c r="J646" s="30">
        <v>-21360</v>
      </c>
      <c r="K646" s="30">
        <v>0</v>
      </c>
      <c r="L646" s="33">
        <v>-21360</v>
      </c>
      <c r="M646" t="s">
        <v>185</v>
      </c>
      <c r="N646" t="s">
        <v>207</v>
      </c>
      <c r="O646" s="34" t="s">
        <v>557</v>
      </c>
      <c r="P646" t="s">
        <v>187</v>
      </c>
      <c r="Q646" t="s">
        <v>23</v>
      </c>
      <c r="R646" t="s">
        <v>23</v>
      </c>
      <c r="S646" t="s">
        <v>25</v>
      </c>
      <c r="T646" t="str">
        <f>_xlfn.XLOOKUP(Tabela14[[#This Row],[Categoria]],CATEGORIAS!$C:$C,CATEGORIAS!$D:$D,"")</f>
        <v>2.1 Despesas Diretas</v>
      </c>
    </row>
    <row r="647" spans="2:20" x14ac:dyDescent="0.25">
      <c r="B647"/>
      <c r="C647"/>
      <c r="D647" s="1">
        <v>46178</v>
      </c>
      <c r="E647" s="1">
        <v>46178</v>
      </c>
      <c r="F647" s="17">
        <v>46180</v>
      </c>
      <c r="G647" t="s">
        <v>184</v>
      </c>
      <c r="H647" t="s">
        <v>27</v>
      </c>
      <c r="I647" t="s">
        <v>102</v>
      </c>
      <c r="J647" s="30">
        <v>-6892.8</v>
      </c>
      <c r="K647" s="30">
        <v>0</v>
      </c>
      <c r="L647" s="33">
        <v>-12438.058666666666</v>
      </c>
      <c r="M647" t="s">
        <v>185</v>
      </c>
      <c r="N647" t="s">
        <v>207</v>
      </c>
      <c r="O647" s="34" t="s">
        <v>555</v>
      </c>
      <c r="P647" t="s">
        <v>187</v>
      </c>
      <c r="Q647" t="s">
        <v>23</v>
      </c>
      <c r="R647" t="s">
        <v>23</v>
      </c>
      <c r="S647" t="s">
        <v>25</v>
      </c>
      <c r="T647" t="str">
        <f>_xlfn.XLOOKUP(Tabela14[[#This Row],[Categoria]],CATEGORIAS!$C:$C,CATEGORIAS!$D:$D,"")</f>
        <v>2.1 Despesas Diretas</v>
      </c>
    </row>
    <row r="648" spans="2:20" x14ac:dyDescent="0.25">
      <c r="B648"/>
      <c r="C648"/>
      <c r="D648" s="1">
        <v>46178</v>
      </c>
      <c r="E648" s="1">
        <v>46178</v>
      </c>
      <c r="F648" s="17">
        <v>46168</v>
      </c>
      <c r="G648" t="s">
        <v>184</v>
      </c>
      <c r="H648" t="s">
        <v>27</v>
      </c>
      <c r="I648" t="s">
        <v>102</v>
      </c>
      <c r="J648" s="30">
        <v>-6892.8</v>
      </c>
      <c r="K648" s="30">
        <v>0</v>
      </c>
      <c r="L648" s="33">
        <v>-10146.837333333333</v>
      </c>
      <c r="M648" t="s">
        <v>185</v>
      </c>
      <c r="N648" t="s">
        <v>207</v>
      </c>
      <c r="O648" s="34" t="s">
        <v>555</v>
      </c>
      <c r="P648" t="s">
        <v>187</v>
      </c>
      <c r="Q648" t="s">
        <v>23</v>
      </c>
      <c r="R648" t="s">
        <v>23</v>
      </c>
      <c r="S648" t="s">
        <v>25</v>
      </c>
      <c r="T648" t="str">
        <f>_xlfn.XLOOKUP(Tabela14[[#This Row],[Categoria]],CATEGORIAS!$C:$C,CATEGORIAS!$D:$D,"")</f>
        <v>2.1 Despesas Diretas</v>
      </c>
    </row>
    <row r="649" spans="2:20" x14ac:dyDescent="0.25">
      <c r="B649"/>
      <c r="C649"/>
      <c r="D649" s="1">
        <v>46178</v>
      </c>
      <c r="E649" s="1">
        <v>46178</v>
      </c>
      <c r="F649" s="17">
        <v>46182</v>
      </c>
      <c r="G649" t="s">
        <v>184</v>
      </c>
      <c r="H649" t="s">
        <v>27</v>
      </c>
      <c r="I649" t="s">
        <v>102</v>
      </c>
      <c r="J649" s="30">
        <v>-6892.8</v>
      </c>
      <c r="K649" s="30">
        <v>0</v>
      </c>
      <c r="L649" s="33">
        <v>-10146.837333333333</v>
      </c>
      <c r="M649" t="s">
        <v>185</v>
      </c>
      <c r="N649" t="s">
        <v>207</v>
      </c>
      <c r="O649" s="34" t="s">
        <v>555</v>
      </c>
      <c r="P649" t="s">
        <v>187</v>
      </c>
      <c r="Q649" t="s">
        <v>23</v>
      </c>
      <c r="R649" t="s">
        <v>23</v>
      </c>
      <c r="S649" t="s">
        <v>25</v>
      </c>
      <c r="T649" t="str">
        <f>_xlfn.XLOOKUP(Tabela14[[#This Row],[Categoria]],CATEGORIAS!$C:$C,CATEGORIAS!$D:$D,"")</f>
        <v>2.1 Despesas Diretas</v>
      </c>
    </row>
    <row r="650" spans="2:20" x14ac:dyDescent="0.25">
      <c r="B650"/>
      <c r="C650"/>
      <c r="D650" s="1">
        <v>46178</v>
      </c>
      <c r="E650" s="1">
        <v>46178</v>
      </c>
      <c r="F650" s="17">
        <v>46196</v>
      </c>
      <c r="G650" t="s">
        <v>184</v>
      </c>
      <c r="H650" t="s">
        <v>27</v>
      </c>
      <c r="I650" t="s">
        <v>102</v>
      </c>
      <c r="J650" s="30">
        <v>-6892.8</v>
      </c>
      <c r="K650" s="30">
        <v>0</v>
      </c>
      <c r="L650" s="33">
        <v>-10146.837333333333</v>
      </c>
      <c r="M650" t="s">
        <v>185</v>
      </c>
      <c r="N650" t="s">
        <v>207</v>
      </c>
      <c r="O650" s="34" t="s">
        <v>555</v>
      </c>
      <c r="P650" t="s">
        <v>187</v>
      </c>
      <c r="Q650" t="s">
        <v>23</v>
      </c>
      <c r="R650" t="s">
        <v>23</v>
      </c>
      <c r="S650" t="s">
        <v>25</v>
      </c>
      <c r="T650" t="str">
        <f>_xlfn.XLOOKUP(Tabela14[[#This Row],[Categoria]],CATEGORIAS!$C:$C,CATEGORIAS!$D:$D,"")</f>
        <v>2.1 Despesas Diretas</v>
      </c>
    </row>
    <row r="651" spans="2:20" x14ac:dyDescent="0.25">
      <c r="B651"/>
      <c r="C651"/>
      <c r="D651" s="1">
        <v>46178</v>
      </c>
      <c r="E651" s="1">
        <v>46178</v>
      </c>
      <c r="F651" s="17">
        <v>46196</v>
      </c>
      <c r="G651" t="s">
        <v>184</v>
      </c>
      <c r="H651" t="s">
        <v>27</v>
      </c>
      <c r="I651" t="s">
        <v>102</v>
      </c>
      <c r="J651" s="30">
        <v>-6892.8</v>
      </c>
      <c r="K651" s="30">
        <v>0</v>
      </c>
      <c r="L651" s="33">
        <v>-10146.837333333333</v>
      </c>
      <c r="M651" t="s">
        <v>185</v>
      </c>
      <c r="N651" t="s">
        <v>207</v>
      </c>
      <c r="O651" s="34" t="s">
        <v>555</v>
      </c>
      <c r="P651" t="s">
        <v>187</v>
      </c>
      <c r="Q651" t="s">
        <v>23</v>
      </c>
      <c r="R651" t="s">
        <v>23</v>
      </c>
      <c r="S651" t="s">
        <v>25</v>
      </c>
      <c r="T651" t="str">
        <f>_xlfn.XLOOKUP(Tabela14[[#This Row],[Categoria]],CATEGORIAS!$C:$C,CATEGORIAS!$D:$D,"")</f>
        <v>2.1 Despesas Diretas</v>
      </c>
    </row>
    <row r="652" spans="2:20" x14ac:dyDescent="0.25">
      <c r="B652"/>
      <c r="C652"/>
      <c r="D652" s="1">
        <v>46178</v>
      </c>
      <c r="E652" s="1">
        <v>46178</v>
      </c>
      <c r="F652" s="17">
        <v>46224</v>
      </c>
      <c r="G652" t="s">
        <v>184</v>
      </c>
      <c r="H652" t="s">
        <v>27</v>
      </c>
      <c r="I652" t="s">
        <v>102</v>
      </c>
      <c r="J652" s="30">
        <v>-6892.8</v>
      </c>
      <c r="K652" s="30">
        <v>0</v>
      </c>
      <c r="L652" s="33">
        <v>-10146.837333333333</v>
      </c>
      <c r="M652" t="s">
        <v>185</v>
      </c>
      <c r="N652" t="s">
        <v>207</v>
      </c>
      <c r="O652" s="34" t="s">
        <v>555</v>
      </c>
      <c r="P652" t="s">
        <v>187</v>
      </c>
      <c r="Q652" t="s">
        <v>23</v>
      </c>
      <c r="R652" t="s">
        <v>23</v>
      </c>
      <c r="S652" t="s">
        <v>25</v>
      </c>
      <c r="T652" t="str">
        <f>_xlfn.XLOOKUP(Tabela14[[#This Row],[Categoria]],CATEGORIAS!$C:$C,CATEGORIAS!$D:$D,"")</f>
        <v>2.1 Despesas Diretas</v>
      </c>
    </row>
    <row r="653" spans="2:20" x14ac:dyDescent="0.25">
      <c r="B653"/>
      <c r="C653"/>
      <c r="D653" s="1">
        <v>46178</v>
      </c>
      <c r="E653" s="1">
        <v>46178</v>
      </c>
      <c r="F653" s="17">
        <v>46238</v>
      </c>
      <c r="G653" t="s">
        <v>184</v>
      </c>
      <c r="H653" t="s">
        <v>27</v>
      </c>
      <c r="I653" t="s">
        <v>102</v>
      </c>
      <c r="J653" s="30">
        <v>-6892.8</v>
      </c>
      <c r="K653" s="30">
        <v>0</v>
      </c>
      <c r="L653" s="33">
        <v>-10146.837333333333</v>
      </c>
      <c r="M653" t="s">
        <v>185</v>
      </c>
      <c r="N653" t="s">
        <v>207</v>
      </c>
      <c r="O653" s="34" t="s">
        <v>555</v>
      </c>
      <c r="P653" t="s">
        <v>187</v>
      </c>
      <c r="Q653" t="s">
        <v>23</v>
      </c>
      <c r="R653" t="s">
        <v>23</v>
      </c>
      <c r="S653" t="s">
        <v>25</v>
      </c>
      <c r="T653" t="str">
        <f>_xlfn.XLOOKUP(Tabela14[[#This Row],[Categoria]],CATEGORIAS!$C:$C,CATEGORIAS!$D:$D,"")</f>
        <v>2.1 Despesas Diretas</v>
      </c>
    </row>
    <row r="654" spans="2:20" x14ac:dyDescent="0.25">
      <c r="B654"/>
      <c r="C654"/>
      <c r="D654" s="1">
        <v>46192</v>
      </c>
      <c r="E654" s="1">
        <v>46192</v>
      </c>
      <c r="F654" s="17">
        <v>46196</v>
      </c>
      <c r="G654" t="s">
        <v>184</v>
      </c>
      <c r="H654" t="s">
        <v>27</v>
      </c>
      <c r="I654" t="s">
        <v>91</v>
      </c>
      <c r="J654" s="30">
        <v>-24292.799999999999</v>
      </c>
      <c r="K654" s="30">
        <v>0</v>
      </c>
      <c r="L654" s="33">
        <v>-24292.799999999999</v>
      </c>
      <c r="M654" t="s">
        <v>185</v>
      </c>
      <c r="N654" t="s">
        <v>207</v>
      </c>
      <c r="O654" s="34" t="s">
        <v>557</v>
      </c>
      <c r="P654" t="s">
        <v>187</v>
      </c>
      <c r="Q654" t="s">
        <v>23</v>
      </c>
      <c r="R654" t="s">
        <v>23</v>
      </c>
      <c r="S654" t="s">
        <v>25</v>
      </c>
      <c r="T654" t="str">
        <f>_xlfn.XLOOKUP(Tabela14[[#This Row],[Categoria]],CATEGORIAS!$C:$C,CATEGORIAS!$D:$D,"")</f>
        <v>2.1 Despesas Diretas</v>
      </c>
    </row>
    <row r="655" spans="2:20" x14ac:dyDescent="0.25">
      <c r="B655"/>
      <c r="C655"/>
      <c r="D655" s="1">
        <v>46136</v>
      </c>
      <c r="E655" s="1">
        <v>46136</v>
      </c>
      <c r="F655" s="17">
        <v>46140</v>
      </c>
      <c r="G655" t="s">
        <v>184</v>
      </c>
      <c r="H655" t="s">
        <v>27</v>
      </c>
      <c r="I655" t="s">
        <v>91</v>
      </c>
      <c r="J655" s="31">
        <v>-10554.45</v>
      </c>
      <c r="K655" s="31">
        <v>0</v>
      </c>
      <c r="L655" s="33">
        <v>-10554.45</v>
      </c>
      <c r="M655" t="s">
        <v>185</v>
      </c>
      <c r="N655" t="s">
        <v>202</v>
      </c>
      <c r="O655" s="34" t="s">
        <v>558</v>
      </c>
      <c r="P655" t="s">
        <v>187</v>
      </c>
      <c r="Q655" t="s">
        <v>23</v>
      </c>
      <c r="R655" t="s">
        <v>23</v>
      </c>
      <c r="S655" t="s">
        <v>25</v>
      </c>
      <c r="T655" t="str">
        <f>_xlfn.XLOOKUP(Tabela14[[#This Row],[Categoria]],CATEGORIAS!$C:$C,CATEGORIAS!$D:$D,"")</f>
        <v>2.1 Despesas Diretas</v>
      </c>
    </row>
    <row r="656" spans="2:20" x14ac:dyDescent="0.25">
      <c r="B656"/>
      <c r="C656"/>
      <c r="D656" s="1">
        <v>46150</v>
      </c>
      <c r="E656" s="1">
        <v>46150</v>
      </c>
      <c r="F656" s="17">
        <v>46150</v>
      </c>
      <c r="G656" t="s">
        <v>184</v>
      </c>
      <c r="H656" t="s">
        <v>27</v>
      </c>
      <c r="I656" t="s">
        <v>94</v>
      </c>
      <c r="J656" s="30">
        <v>-134.4</v>
      </c>
      <c r="K656" s="30">
        <v>0</v>
      </c>
      <c r="L656" s="33">
        <v>-134.4</v>
      </c>
      <c r="M656" t="s">
        <v>185</v>
      </c>
      <c r="N656" t="s">
        <v>202</v>
      </c>
      <c r="O656" s="34" t="s">
        <v>400</v>
      </c>
      <c r="P656" t="s">
        <v>187</v>
      </c>
      <c r="Q656" t="s">
        <v>23</v>
      </c>
      <c r="R656" t="s">
        <v>23</v>
      </c>
      <c r="S656" t="s">
        <v>25</v>
      </c>
      <c r="T656" t="str">
        <f>_xlfn.XLOOKUP(Tabela14[[#This Row],[Categoria]],CATEGORIAS!$C:$C,CATEGORIAS!$D:$D,"")</f>
        <v>2.1 Despesas Diretas</v>
      </c>
    </row>
    <row r="657" spans="2:20" x14ac:dyDescent="0.25">
      <c r="B657"/>
      <c r="C657"/>
      <c r="D657" s="1">
        <v>46150</v>
      </c>
      <c r="E657" s="1">
        <v>46150</v>
      </c>
      <c r="F657" s="17">
        <v>46154</v>
      </c>
      <c r="G657" t="s">
        <v>184</v>
      </c>
      <c r="H657" t="s">
        <v>27</v>
      </c>
      <c r="I657" t="s">
        <v>91</v>
      </c>
      <c r="J657" s="30">
        <v>-10565.71</v>
      </c>
      <c r="K657" s="30">
        <v>0</v>
      </c>
      <c r="L657" s="33">
        <v>-10565.71</v>
      </c>
      <c r="M657" t="s">
        <v>185</v>
      </c>
      <c r="N657" t="s">
        <v>202</v>
      </c>
      <c r="O657" s="34" t="s">
        <v>558</v>
      </c>
      <c r="P657" t="s">
        <v>187</v>
      </c>
      <c r="Q657" t="s">
        <v>23</v>
      </c>
      <c r="R657" t="s">
        <v>23</v>
      </c>
      <c r="S657" t="s">
        <v>25</v>
      </c>
      <c r="T657" t="str">
        <f>_xlfn.XLOOKUP(Tabela14[[#This Row],[Categoria]],CATEGORIAS!$C:$C,CATEGORIAS!$D:$D,"")</f>
        <v>2.1 Despesas Diretas</v>
      </c>
    </row>
    <row r="658" spans="2:20" x14ac:dyDescent="0.25">
      <c r="B658"/>
      <c r="C658"/>
      <c r="D658" s="1">
        <v>46150</v>
      </c>
      <c r="E658" s="1">
        <v>46150</v>
      </c>
      <c r="F658" s="17">
        <v>46150</v>
      </c>
      <c r="G658" t="s">
        <v>184</v>
      </c>
      <c r="H658" t="s">
        <v>27</v>
      </c>
      <c r="I658" t="s">
        <v>94</v>
      </c>
      <c r="J658" s="30">
        <v>-4345.6000000000004</v>
      </c>
      <c r="K658" s="30">
        <v>0</v>
      </c>
      <c r="L658" s="33">
        <v>-4345.6000000000004</v>
      </c>
      <c r="M658" t="s">
        <v>185</v>
      </c>
      <c r="N658" t="s">
        <v>202</v>
      </c>
      <c r="O658" s="34" t="s">
        <v>559</v>
      </c>
      <c r="P658" t="s">
        <v>187</v>
      </c>
      <c r="Q658" t="s">
        <v>23</v>
      </c>
      <c r="R658" t="s">
        <v>23</v>
      </c>
      <c r="S658" t="s">
        <v>25</v>
      </c>
      <c r="T658" t="str">
        <f>_xlfn.XLOOKUP(Tabela14[[#This Row],[Categoria]],CATEGORIAS!$C:$C,CATEGORIAS!$D:$D,"")</f>
        <v>2.1 Despesas Diretas</v>
      </c>
    </row>
    <row r="659" spans="2:20" x14ac:dyDescent="0.25">
      <c r="B659"/>
      <c r="C659"/>
      <c r="D659" s="1">
        <v>46150</v>
      </c>
      <c r="E659" s="1">
        <v>46150</v>
      </c>
      <c r="F659" s="17">
        <v>46150</v>
      </c>
      <c r="G659" t="s">
        <v>184</v>
      </c>
      <c r="H659" t="s">
        <v>27</v>
      </c>
      <c r="I659" t="s">
        <v>103</v>
      </c>
      <c r="J659" s="30">
        <v>-8072.42</v>
      </c>
      <c r="K659" s="30">
        <v>0</v>
      </c>
      <c r="L659" s="33">
        <v>-8072.42</v>
      </c>
      <c r="M659" t="s">
        <v>185</v>
      </c>
      <c r="N659" t="s">
        <v>202</v>
      </c>
      <c r="O659" s="34" t="s">
        <v>560</v>
      </c>
      <c r="P659" t="s">
        <v>187</v>
      </c>
      <c r="Q659" t="s">
        <v>23</v>
      </c>
      <c r="R659" t="s">
        <v>23</v>
      </c>
      <c r="S659" t="s">
        <v>25</v>
      </c>
      <c r="T659" t="str">
        <f>_xlfn.XLOOKUP(Tabela14[[#This Row],[Categoria]],CATEGORIAS!$C:$C,CATEGORIAS!$D:$D,"")</f>
        <v>2.1 Despesas Diretas</v>
      </c>
    </row>
    <row r="660" spans="2:20" x14ac:dyDescent="0.25">
      <c r="B660"/>
      <c r="C660"/>
      <c r="D660" s="1">
        <v>46150</v>
      </c>
      <c r="E660" s="1">
        <v>46150</v>
      </c>
      <c r="F660" s="17">
        <v>46150</v>
      </c>
      <c r="G660" t="s">
        <v>184</v>
      </c>
      <c r="H660" t="s">
        <v>27</v>
      </c>
      <c r="I660" t="s">
        <v>94</v>
      </c>
      <c r="J660" s="30">
        <v>-1104</v>
      </c>
      <c r="K660" s="30">
        <v>0</v>
      </c>
      <c r="L660" s="33">
        <v>-1104</v>
      </c>
      <c r="M660" t="s">
        <v>185</v>
      </c>
      <c r="N660" t="s">
        <v>202</v>
      </c>
      <c r="O660" s="34" t="s">
        <v>399</v>
      </c>
      <c r="P660" t="s">
        <v>187</v>
      </c>
      <c r="Q660" t="s">
        <v>23</v>
      </c>
      <c r="R660" t="s">
        <v>23</v>
      </c>
      <c r="S660" t="s">
        <v>25</v>
      </c>
      <c r="T660" t="str">
        <f>_xlfn.XLOOKUP(Tabela14[[#This Row],[Categoria]],CATEGORIAS!$C:$C,CATEGORIAS!$D:$D,"")</f>
        <v>2.1 Despesas Diretas</v>
      </c>
    </row>
    <row r="661" spans="2:20" x14ac:dyDescent="0.25">
      <c r="B661"/>
      <c r="C661"/>
      <c r="D661" s="1">
        <v>46178</v>
      </c>
      <c r="E661" s="1">
        <v>46178</v>
      </c>
      <c r="F661" s="17">
        <v>46182</v>
      </c>
      <c r="G661" t="s">
        <v>184</v>
      </c>
      <c r="H661" t="s">
        <v>27</v>
      </c>
      <c r="I661" t="s">
        <v>91</v>
      </c>
      <c r="J661" s="30">
        <v>-25062.59</v>
      </c>
      <c r="K661" s="30">
        <v>0</v>
      </c>
      <c r="L661" s="33">
        <v>-25062.59</v>
      </c>
      <c r="M661" t="s">
        <v>185</v>
      </c>
      <c r="N661" t="s">
        <v>202</v>
      </c>
      <c r="O661" s="34" t="s">
        <v>558</v>
      </c>
      <c r="P661" t="s">
        <v>187</v>
      </c>
      <c r="Q661" t="s">
        <v>23</v>
      </c>
      <c r="R661" t="s">
        <v>23</v>
      </c>
      <c r="S661" t="s">
        <v>25</v>
      </c>
      <c r="T661" t="str">
        <f>_xlfn.XLOOKUP(Tabela14[[#This Row],[Categoria]],CATEGORIAS!$C:$C,CATEGORIAS!$D:$D,"")</f>
        <v>2.1 Despesas Diretas</v>
      </c>
    </row>
    <row r="662" spans="2:20" x14ac:dyDescent="0.25">
      <c r="B662"/>
      <c r="C662"/>
      <c r="D662" s="1">
        <v>46178</v>
      </c>
      <c r="E662" s="1">
        <v>46178</v>
      </c>
      <c r="F662" s="17">
        <v>46178</v>
      </c>
      <c r="G662" t="s">
        <v>184</v>
      </c>
      <c r="H662" t="s">
        <v>27</v>
      </c>
      <c r="I662" t="s">
        <v>94</v>
      </c>
      <c r="J662" s="30">
        <v>-4345.6000000000004</v>
      </c>
      <c r="K662" s="30">
        <v>0</v>
      </c>
      <c r="L662" s="33">
        <v>-4345.6000000000004</v>
      </c>
      <c r="M662" t="s">
        <v>185</v>
      </c>
      <c r="N662" t="s">
        <v>202</v>
      </c>
      <c r="O662" s="34" t="s">
        <v>559</v>
      </c>
      <c r="P662" t="s">
        <v>187</v>
      </c>
      <c r="Q662" t="s">
        <v>23</v>
      </c>
      <c r="R662" t="s">
        <v>23</v>
      </c>
      <c r="S662" t="s">
        <v>25</v>
      </c>
      <c r="T662" t="str">
        <f>_xlfn.XLOOKUP(Tabela14[[#This Row],[Categoria]],CATEGORIAS!$C:$C,CATEGORIAS!$D:$D,"")</f>
        <v>2.1 Despesas Diretas</v>
      </c>
    </row>
    <row r="663" spans="2:20" x14ac:dyDescent="0.25">
      <c r="B663"/>
      <c r="C663"/>
      <c r="D663" s="1">
        <v>46164</v>
      </c>
      <c r="E663" s="1">
        <v>46164</v>
      </c>
      <c r="F663" s="17">
        <v>46168</v>
      </c>
      <c r="G663" t="s">
        <v>184</v>
      </c>
      <c r="H663" t="s">
        <v>27</v>
      </c>
      <c r="I663" t="s">
        <v>91</v>
      </c>
      <c r="J663" s="30">
        <v>-37954.33</v>
      </c>
      <c r="K663" s="30">
        <v>0</v>
      </c>
      <c r="L663" s="33">
        <v>-37954.33</v>
      </c>
      <c r="M663" t="s">
        <v>185</v>
      </c>
      <c r="N663" t="s">
        <v>202</v>
      </c>
      <c r="O663" s="34" t="s">
        <v>558</v>
      </c>
      <c r="P663" t="s">
        <v>187</v>
      </c>
      <c r="Q663" t="s">
        <v>23</v>
      </c>
      <c r="R663" t="s">
        <v>23</v>
      </c>
      <c r="S663" t="s">
        <v>25</v>
      </c>
      <c r="T663" t="str">
        <f>_xlfn.XLOOKUP(Tabela14[[#This Row],[Categoria]],CATEGORIAS!$C:$C,CATEGORIAS!$D:$D,"")</f>
        <v>2.1 Despesas Diretas</v>
      </c>
    </row>
    <row r="664" spans="2:20" x14ac:dyDescent="0.25">
      <c r="B664"/>
      <c r="C664"/>
      <c r="D664" s="1">
        <v>46178</v>
      </c>
      <c r="E664" s="1">
        <v>46178</v>
      </c>
      <c r="F664" s="17">
        <v>46178</v>
      </c>
      <c r="G664" t="s">
        <v>184</v>
      </c>
      <c r="H664" t="s">
        <v>27</v>
      </c>
      <c r="I664" t="s">
        <v>103</v>
      </c>
      <c r="J664" s="30">
        <v>-7834.99</v>
      </c>
      <c r="K664" s="30">
        <v>0</v>
      </c>
      <c r="L664" s="33">
        <v>-7834.99</v>
      </c>
      <c r="M664" t="s">
        <v>185</v>
      </c>
      <c r="N664" t="s">
        <v>202</v>
      </c>
      <c r="O664" s="34" t="s">
        <v>560</v>
      </c>
      <c r="P664" t="s">
        <v>187</v>
      </c>
      <c r="Q664" t="s">
        <v>23</v>
      </c>
      <c r="R664" t="s">
        <v>23</v>
      </c>
      <c r="S664" t="s">
        <v>25</v>
      </c>
      <c r="T664" t="str">
        <f>_xlfn.XLOOKUP(Tabela14[[#This Row],[Categoria]],CATEGORIAS!$C:$C,CATEGORIAS!$D:$D,"")</f>
        <v>2.1 Despesas Diretas</v>
      </c>
    </row>
    <row r="665" spans="2:20" x14ac:dyDescent="0.25">
      <c r="B665"/>
      <c r="C665"/>
      <c r="D665" s="1">
        <v>46178</v>
      </c>
      <c r="E665" s="1">
        <v>46178</v>
      </c>
      <c r="F665" s="17">
        <v>46178</v>
      </c>
      <c r="G665" t="s">
        <v>184</v>
      </c>
      <c r="H665" t="s">
        <v>27</v>
      </c>
      <c r="I665" t="s">
        <v>94</v>
      </c>
      <c r="J665" s="30">
        <v>-134.4</v>
      </c>
      <c r="K665" s="30">
        <v>0</v>
      </c>
      <c r="L665" s="33">
        <v>-134.4</v>
      </c>
      <c r="M665" t="s">
        <v>185</v>
      </c>
      <c r="N665" t="s">
        <v>202</v>
      </c>
      <c r="O665" s="34" t="s">
        <v>400</v>
      </c>
      <c r="P665" t="s">
        <v>187</v>
      </c>
      <c r="Q665" t="s">
        <v>23</v>
      </c>
      <c r="R665" t="s">
        <v>23</v>
      </c>
      <c r="S665" t="s">
        <v>25</v>
      </c>
      <c r="T665" t="str">
        <f>_xlfn.XLOOKUP(Tabela14[[#This Row],[Categoria]],CATEGORIAS!$C:$C,CATEGORIAS!$D:$D,"")</f>
        <v>2.1 Despesas Diretas</v>
      </c>
    </row>
    <row r="666" spans="2:20" x14ac:dyDescent="0.25">
      <c r="B666"/>
      <c r="C666"/>
      <c r="D666" s="1">
        <v>46178</v>
      </c>
      <c r="E666" s="1">
        <v>46178</v>
      </c>
      <c r="F666" s="17">
        <v>46178</v>
      </c>
      <c r="G666" t="s">
        <v>184</v>
      </c>
      <c r="H666" t="s">
        <v>27</v>
      </c>
      <c r="I666" t="s">
        <v>94</v>
      </c>
      <c r="J666" s="30">
        <v>-1104</v>
      </c>
      <c r="K666" s="30">
        <v>0</v>
      </c>
      <c r="L666" s="33">
        <v>-1104</v>
      </c>
      <c r="M666" t="s">
        <v>185</v>
      </c>
      <c r="N666" t="s">
        <v>202</v>
      </c>
      <c r="O666" s="34" t="s">
        <v>399</v>
      </c>
      <c r="P666" t="s">
        <v>187</v>
      </c>
      <c r="Q666" t="s">
        <v>23</v>
      </c>
      <c r="R666" t="s">
        <v>23</v>
      </c>
      <c r="S666" t="s">
        <v>25</v>
      </c>
      <c r="T666" t="str">
        <f>_xlfn.XLOOKUP(Tabela14[[#This Row],[Categoria]],CATEGORIAS!$C:$C,CATEGORIAS!$D:$D,"")</f>
        <v>2.1 Despesas Diretas</v>
      </c>
    </row>
    <row r="667" spans="2:20" x14ac:dyDescent="0.25">
      <c r="B667"/>
      <c r="C667"/>
      <c r="D667" s="1">
        <v>46206</v>
      </c>
      <c r="E667" s="1">
        <v>46206</v>
      </c>
      <c r="F667" s="17">
        <v>46206</v>
      </c>
      <c r="G667" t="s">
        <v>184</v>
      </c>
      <c r="H667" t="s">
        <v>27</v>
      </c>
      <c r="I667" t="s">
        <v>103</v>
      </c>
      <c r="J667" s="30">
        <v>-7834.99</v>
      </c>
      <c r="K667" s="30">
        <v>0</v>
      </c>
      <c r="L667" s="33">
        <v>-7834.99</v>
      </c>
      <c r="M667" t="s">
        <v>185</v>
      </c>
      <c r="N667" t="s">
        <v>202</v>
      </c>
      <c r="O667" s="34" t="s">
        <v>560</v>
      </c>
      <c r="P667" t="s">
        <v>187</v>
      </c>
      <c r="Q667" t="s">
        <v>23</v>
      </c>
      <c r="R667" t="s">
        <v>23</v>
      </c>
      <c r="S667" t="s">
        <v>25</v>
      </c>
      <c r="T667" t="str">
        <f>_xlfn.XLOOKUP(Tabela14[[#This Row],[Categoria]],CATEGORIAS!$C:$C,CATEGORIAS!$D:$D,"")</f>
        <v>2.1 Despesas Diretas</v>
      </c>
    </row>
    <row r="668" spans="2:20" x14ac:dyDescent="0.25">
      <c r="B668"/>
      <c r="C668"/>
      <c r="D668" s="1">
        <v>46192</v>
      </c>
      <c r="E668" s="1">
        <v>46192</v>
      </c>
      <c r="F668" s="17">
        <v>46196</v>
      </c>
      <c r="G668" t="s">
        <v>184</v>
      </c>
      <c r="H668" t="s">
        <v>27</v>
      </c>
      <c r="I668" t="s">
        <v>91</v>
      </c>
      <c r="J668" s="30">
        <v>-28503.759999999998</v>
      </c>
      <c r="K668" s="30">
        <v>0</v>
      </c>
      <c r="L668" s="33">
        <v>-28503.759999999998</v>
      </c>
      <c r="M668" t="s">
        <v>185</v>
      </c>
      <c r="N668" t="s">
        <v>202</v>
      </c>
      <c r="O668" s="34" t="s">
        <v>558</v>
      </c>
      <c r="P668" t="s">
        <v>187</v>
      </c>
      <c r="Q668" t="s">
        <v>23</v>
      </c>
      <c r="R668" t="s">
        <v>23</v>
      </c>
      <c r="S668" t="s">
        <v>25</v>
      </c>
      <c r="T668" t="str">
        <f>_xlfn.XLOOKUP(Tabela14[[#This Row],[Categoria]],CATEGORIAS!$C:$C,CATEGORIAS!$D:$D,"")</f>
        <v>2.1 Despesas Diretas</v>
      </c>
    </row>
    <row r="671" spans="2:20" x14ac:dyDescent="0.25">
      <c r="J671" s="31"/>
      <c r="K671" s="31"/>
      <c r="L671" s="31"/>
      <c r="N671" s="19"/>
      <c r="O671" s="3"/>
    </row>
    <row r="672" spans="2:20" ht="15.75" x14ac:dyDescent="0.25">
      <c r="J672" s="31"/>
      <c r="K672" s="31"/>
      <c r="L672" s="43"/>
      <c r="N672" s="19"/>
      <c r="O672" s="3"/>
    </row>
    <row r="673" spans="7:18" x14ac:dyDescent="0.25">
      <c r="G673" s="1"/>
      <c r="I673" s="1"/>
      <c r="J673" s="44"/>
      <c r="K673" s="44">
        <v>46140</v>
      </c>
      <c r="L673" s="44">
        <v>46154</v>
      </c>
      <c r="M673" s="1">
        <v>46168</v>
      </c>
      <c r="N673" s="1">
        <v>46182</v>
      </c>
      <c r="O673" s="1">
        <v>46196</v>
      </c>
      <c r="P673" s="1">
        <v>46210</v>
      </c>
      <c r="Q673" s="1">
        <v>46224</v>
      </c>
      <c r="R673" s="1">
        <v>46238</v>
      </c>
    </row>
    <row r="674" spans="7:18" x14ac:dyDescent="0.25">
      <c r="G674" s="1"/>
      <c r="I674" s="1"/>
      <c r="J674" s="44"/>
      <c r="K674" s="31"/>
      <c r="L674" s="31"/>
      <c r="N674" s="26"/>
      <c r="O674" s="22"/>
    </row>
    <row r="675" spans="7:18" x14ac:dyDescent="0.25">
      <c r="G675" s="1"/>
      <c r="I675" s="1"/>
      <c r="J675" s="1"/>
      <c r="K675" s="1"/>
      <c r="L675" s="1"/>
      <c r="N675" s="26"/>
      <c r="O675" s="22"/>
    </row>
    <row r="676" spans="7:18" x14ac:dyDescent="0.25">
      <c r="G676" s="1"/>
      <c r="H676" s="1"/>
      <c r="I676" s="1"/>
      <c r="J676" s="1"/>
      <c r="K676" s="1"/>
      <c r="L676" s="1"/>
    </row>
    <row r="677" spans="7:18" x14ac:dyDescent="0.25">
      <c r="G677" s="1"/>
      <c r="H677" s="1"/>
      <c r="I677" s="1"/>
      <c r="J677" s="1"/>
      <c r="K677" s="1"/>
      <c r="L677" s="1"/>
      <c r="M677" s="1"/>
      <c r="N677" s="23"/>
      <c r="O677" s="50"/>
      <c r="P677" s="50"/>
      <c r="Q677" s="50"/>
      <c r="R677" s="50"/>
    </row>
    <row r="678" spans="7:18" x14ac:dyDescent="0.25">
      <c r="G678" s="1"/>
      <c r="H678" s="1"/>
      <c r="I678" s="1"/>
      <c r="J678" s="1"/>
      <c r="K678" s="1"/>
      <c r="L678" s="1"/>
      <c r="M678" s="31"/>
      <c r="N678" s="23"/>
      <c r="O678" s="23"/>
      <c r="P678" s="23"/>
      <c r="Q678" s="23"/>
      <c r="R678" s="23"/>
    </row>
    <row r="679" spans="7:18" x14ac:dyDescent="0.25">
      <c r="G679" s="1"/>
      <c r="H679" s="1"/>
      <c r="I679" s="1"/>
      <c r="J679" s="1"/>
      <c r="K679" s="1"/>
      <c r="L679" s="1"/>
      <c r="M679" s="1"/>
      <c r="N679" s="23"/>
      <c r="O679" s="23"/>
      <c r="P679" s="23"/>
      <c r="Q679" s="23"/>
      <c r="R679" s="23"/>
    </row>
    <row r="680" spans="7:18" x14ac:dyDescent="0.25">
      <c r="I680" s="1"/>
      <c r="J680" s="1"/>
      <c r="K680" s="1"/>
      <c r="L680" s="1"/>
      <c r="M680" s="31"/>
      <c r="N680" s="45"/>
      <c r="O680" s="32"/>
      <c r="P680" s="32"/>
      <c r="Q680" s="32"/>
      <c r="R680" s="31"/>
    </row>
    <row r="681" spans="7:18" x14ac:dyDescent="0.25">
      <c r="I681" s="31"/>
      <c r="J681" s="46"/>
      <c r="K681" s="44"/>
      <c r="L681" s="44"/>
      <c r="M681" s="1"/>
      <c r="N681" s="45"/>
      <c r="O681" s="32"/>
      <c r="P681" s="32"/>
      <c r="Q681" s="32"/>
      <c r="R681" s="31"/>
    </row>
    <row r="682" spans="7:18" x14ac:dyDescent="0.25">
      <c r="I682" s="31"/>
      <c r="J682" s="31"/>
      <c r="K682" s="31"/>
      <c r="L682" s="31"/>
      <c r="M682" s="31"/>
      <c r="N682" s="45"/>
      <c r="O682" s="32"/>
      <c r="P682" s="32"/>
      <c r="Q682" s="32"/>
      <c r="R682" s="31"/>
    </row>
    <row r="683" spans="7:18" x14ac:dyDescent="0.25">
      <c r="G683" s="1"/>
      <c r="I683" s="1"/>
      <c r="J683" s="31"/>
      <c r="K683" s="31"/>
      <c r="L683" s="31"/>
      <c r="N683" s="45"/>
      <c r="O683" s="32"/>
      <c r="P683" s="32"/>
      <c r="Q683" s="32"/>
      <c r="R683" s="31"/>
    </row>
    <row r="684" spans="7:18" x14ac:dyDescent="0.25">
      <c r="G684" s="1"/>
      <c r="I684" s="1"/>
      <c r="J684" s="31"/>
      <c r="K684" s="31"/>
      <c r="L684" s="31"/>
      <c r="N684" s="19"/>
    </row>
    <row r="685" spans="7:18" x14ac:dyDescent="0.25">
      <c r="G685" s="1"/>
      <c r="I685" s="1"/>
      <c r="J685" s="31"/>
      <c r="K685" s="31"/>
      <c r="L685" s="31"/>
      <c r="N685" s="19"/>
      <c r="O685" s="19"/>
      <c r="P685" s="19"/>
      <c r="Q685" s="32"/>
      <c r="R685" s="32"/>
    </row>
    <row r="686" spans="7:18" x14ac:dyDescent="0.25">
      <c r="I686" s="1"/>
      <c r="J686" s="31"/>
      <c r="K686" s="31"/>
      <c r="L686" s="31"/>
      <c r="N686" s="19"/>
      <c r="O686" s="19"/>
      <c r="P686" s="19"/>
      <c r="Q686" s="32"/>
      <c r="R686" s="32"/>
    </row>
    <row r="687" spans="7:18" x14ac:dyDescent="0.25">
      <c r="I687" s="1"/>
      <c r="J687" s="31"/>
      <c r="K687" s="31"/>
      <c r="L687" s="31"/>
      <c r="N687" s="19"/>
      <c r="O687" s="19"/>
      <c r="P687" s="19"/>
      <c r="Q687" s="32"/>
      <c r="R687" s="32"/>
    </row>
    <row r="688" spans="7:18" x14ac:dyDescent="0.25">
      <c r="I688" s="1"/>
      <c r="J688" s="31"/>
      <c r="K688" s="31"/>
      <c r="L688" s="31"/>
    </row>
    <row r="689" spans="10:12" x14ac:dyDescent="0.25">
      <c r="J689" s="31"/>
      <c r="K689" s="31"/>
      <c r="L689" s="31"/>
    </row>
  </sheetData>
  <mergeCells count="1">
    <mergeCell ref="O677:R67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513C-41BF-44C4-8524-81ABABDE3483}">
  <dimension ref="A1:L678"/>
  <sheetViews>
    <sheetView topLeftCell="D1" zoomScale="110" zoomScaleNormal="110" workbookViewId="0">
      <selection activeCell="M3" sqref="M3"/>
    </sheetView>
  </sheetViews>
  <sheetFormatPr defaultRowHeight="15" x14ac:dyDescent="0.25"/>
  <cols>
    <col min="1" max="1" width="16.85546875" bestFit="1" customWidth="1"/>
    <col min="2" max="2" width="14.28515625" bestFit="1" customWidth="1"/>
    <col min="3" max="3" width="23.85546875" bestFit="1" customWidth="1"/>
    <col min="4" max="4" width="24.42578125" style="3" customWidth="1"/>
    <col min="5" max="5" width="22.85546875" bestFit="1" customWidth="1"/>
    <col min="6" max="7" width="14" bestFit="1" customWidth="1"/>
    <col min="8" max="8" width="38.140625" bestFit="1" customWidth="1"/>
    <col min="9" max="9" width="28" bestFit="1" customWidth="1"/>
  </cols>
  <sheetData>
    <row r="1" spans="1:9" x14ac:dyDescent="0.25">
      <c r="G1" s="16">
        <f>205000/7</f>
        <v>29285.714285714286</v>
      </c>
      <c r="H1" t="s">
        <v>330</v>
      </c>
      <c r="I1" t="s">
        <v>331</v>
      </c>
    </row>
    <row r="2" spans="1:9" x14ac:dyDescent="0.25">
      <c r="C2" s="16" t="s">
        <v>337</v>
      </c>
      <c r="D2" s="21" t="s">
        <v>326</v>
      </c>
      <c r="E2" t="s">
        <v>327</v>
      </c>
      <c r="F2" s="16">
        <f>(3950/2)+(3600/4)</f>
        <v>2875</v>
      </c>
      <c r="G2" t="s">
        <v>328</v>
      </c>
      <c r="H2" t="s">
        <v>329</v>
      </c>
    </row>
    <row r="3" spans="1:9" x14ac:dyDescent="0.25">
      <c r="D3" s="3" t="s">
        <v>345</v>
      </c>
      <c r="E3" s="16">
        <f>3950/2</f>
        <v>1975</v>
      </c>
      <c r="F3" s="18">
        <f>+F2*64</f>
        <v>184000</v>
      </c>
    </row>
    <row r="4" spans="1:9" x14ac:dyDescent="0.25">
      <c r="A4" t="s">
        <v>333</v>
      </c>
      <c r="C4" s="16">
        <v>184000</v>
      </c>
      <c r="D4" s="3" t="s">
        <v>346</v>
      </c>
      <c r="E4" s="16">
        <v>900</v>
      </c>
    </row>
    <row r="5" spans="1:9" x14ac:dyDescent="0.25">
      <c r="A5" t="s">
        <v>332</v>
      </c>
      <c r="B5" t="s">
        <v>335</v>
      </c>
      <c r="C5" s="16">
        <f>C4/7</f>
        <v>26285.714285714286</v>
      </c>
      <c r="D5" s="3" t="s">
        <v>336</v>
      </c>
      <c r="E5" s="19">
        <f>E4+E3</f>
        <v>2875</v>
      </c>
      <c r="F5" s="19">
        <f>E5*64</f>
        <v>184000</v>
      </c>
    </row>
    <row r="6" spans="1:9" x14ac:dyDescent="0.25">
      <c r="C6" s="16"/>
      <c r="E6" s="19"/>
      <c r="F6" s="19"/>
    </row>
    <row r="7" spans="1:9" x14ac:dyDescent="0.25">
      <c r="C7" s="16"/>
      <c r="E7" s="19"/>
      <c r="F7" s="19"/>
    </row>
    <row r="8" spans="1:9" s="22" customFormat="1" x14ac:dyDescent="0.25">
      <c r="B8" s="23" t="s">
        <v>347</v>
      </c>
      <c r="C8" s="24"/>
      <c r="D8" s="25" t="s">
        <v>348</v>
      </c>
      <c r="E8" s="26"/>
      <c r="F8" s="26"/>
    </row>
    <row r="9" spans="1:9" x14ac:dyDescent="0.25">
      <c r="A9" t="s">
        <v>334</v>
      </c>
      <c r="B9" s="17">
        <v>45757</v>
      </c>
      <c r="C9" s="27">
        <f>$C$5*0.3</f>
        <v>7885.7142857142853</v>
      </c>
      <c r="D9" s="28">
        <v>46118</v>
      </c>
      <c r="E9" s="20">
        <f>WEEKDAY(D9)</f>
        <v>2</v>
      </c>
      <c r="G9" s="19">
        <f>-C9</f>
        <v>-7885.7142857142853</v>
      </c>
    </row>
    <row r="10" spans="1:9" x14ac:dyDescent="0.25">
      <c r="B10" s="17">
        <f>B9+15</f>
        <v>45772</v>
      </c>
      <c r="C10" s="27">
        <f>$C$5*0.35</f>
        <v>9200</v>
      </c>
      <c r="D10" s="28">
        <v>45774</v>
      </c>
      <c r="E10" s="20">
        <f t="shared" ref="E10:E29" si="0">WEEKDAY(D10)</f>
        <v>1</v>
      </c>
      <c r="G10" s="19">
        <f t="shared" ref="G10:G30" si="1">-C10</f>
        <v>-9200</v>
      </c>
    </row>
    <row r="11" spans="1:9" x14ac:dyDescent="0.25">
      <c r="B11" s="17">
        <f>B10+15</f>
        <v>45787</v>
      </c>
      <c r="C11" s="27">
        <f>$C$5*0.35</f>
        <v>9200</v>
      </c>
      <c r="D11" s="28">
        <v>46153</v>
      </c>
      <c r="E11" s="20">
        <f t="shared" si="0"/>
        <v>2</v>
      </c>
      <c r="G11" s="19">
        <f t="shared" si="1"/>
        <v>-9200</v>
      </c>
    </row>
    <row r="12" spans="1:9" x14ac:dyDescent="0.25">
      <c r="B12" s="1">
        <f>B9+7</f>
        <v>45764</v>
      </c>
      <c r="C12" s="19">
        <f>$C$5*0.3</f>
        <v>7885.7142857142853</v>
      </c>
      <c r="D12" s="29">
        <v>45774</v>
      </c>
      <c r="E12" s="20">
        <f t="shared" si="0"/>
        <v>1</v>
      </c>
      <c r="G12" s="19">
        <f t="shared" si="1"/>
        <v>-7885.7142857142853</v>
      </c>
    </row>
    <row r="13" spans="1:9" x14ac:dyDescent="0.25">
      <c r="B13" s="1">
        <f>B12+15</f>
        <v>45779</v>
      </c>
      <c r="C13" s="19">
        <f>$C$5*0.35</f>
        <v>9200</v>
      </c>
      <c r="D13" s="29">
        <v>46153</v>
      </c>
      <c r="E13" s="20">
        <f t="shared" si="0"/>
        <v>2</v>
      </c>
      <c r="G13" s="19">
        <f t="shared" si="1"/>
        <v>-9200</v>
      </c>
    </row>
    <row r="14" spans="1:9" x14ac:dyDescent="0.25">
      <c r="B14" s="1">
        <f>B13+15</f>
        <v>45794</v>
      </c>
      <c r="C14" s="19">
        <f>$C$5*0.35</f>
        <v>9200</v>
      </c>
      <c r="D14" s="29">
        <v>46167</v>
      </c>
      <c r="E14" s="20">
        <f t="shared" si="0"/>
        <v>2</v>
      </c>
      <c r="G14" s="19">
        <f t="shared" si="1"/>
        <v>-9200</v>
      </c>
    </row>
    <row r="15" spans="1:9" x14ac:dyDescent="0.25">
      <c r="B15" s="17">
        <f>B12+7</f>
        <v>45771</v>
      </c>
      <c r="C15" s="27">
        <f>$C$5*0.3</f>
        <v>7885.7142857142853</v>
      </c>
      <c r="D15" s="28">
        <v>45774</v>
      </c>
      <c r="E15" s="20">
        <f t="shared" si="0"/>
        <v>1</v>
      </c>
      <c r="G15" s="19">
        <f t="shared" si="1"/>
        <v>-7885.7142857142853</v>
      </c>
    </row>
    <row r="16" spans="1:9" x14ac:dyDescent="0.25">
      <c r="B16" s="17">
        <f>B15+15</f>
        <v>45786</v>
      </c>
      <c r="C16" s="27">
        <f>$C$5*0.35</f>
        <v>9200</v>
      </c>
      <c r="D16" s="28">
        <v>46153</v>
      </c>
      <c r="E16" s="20">
        <f t="shared" si="0"/>
        <v>2</v>
      </c>
      <c r="G16" s="19">
        <f t="shared" si="1"/>
        <v>-9200</v>
      </c>
    </row>
    <row r="17" spans="1:7" x14ac:dyDescent="0.25">
      <c r="B17" s="17">
        <f>B16+15</f>
        <v>45801</v>
      </c>
      <c r="C17" s="27">
        <f>$C$5*0.35</f>
        <v>9200</v>
      </c>
      <c r="D17" s="28">
        <v>46167</v>
      </c>
      <c r="E17" s="20">
        <f t="shared" si="0"/>
        <v>2</v>
      </c>
      <c r="G17" s="19">
        <f t="shared" si="1"/>
        <v>-9200</v>
      </c>
    </row>
    <row r="18" spans="1:7" x14ac:dyDescent="0.25">
      <c r="B18" s="1">
        <f>B15+7</f>
        <v>45778</v>
      </c>
      <c r="C18" s="19">
        <f>$C$5*0.3</f>
        <v>7885.7142857142853</v>
      </c>
      <c r="D18" s="29">
        <v>46153</v>
      </c>
      <c r="E18" s="20">
        <f t="shared" si="0"/>
        <v>2</v>
      </c>
      <c r="G18" s="19">
        <f t="shared" si="1"/>
        <v>-7885.7142857142853</v>
      </c>
    </row>
    <row r="19" spans="1:7" x14ac:dyDescent="0.25">
      <c r="B19" s="1">
        <f>B18+15</f>
        <v>45793</v>
      </c>
      <c r="C19" s="19">
        <f>$C$5*0.35</f>
        <v>9200</v>
      </c>
      <c r="D19" s="29">
        <v>46167</v>
      </c>
      <c r="E19" s="20">
        <f t="shared" si="0"/>
        <v>2</v>
      </c>
      <c r="G19" s="19">
        <f t="shared" si="1"/>
        <v>-9200</v>
      </c>
    </row>
    <row r="20" spans="1:7" x14ac:dyDescent="0.25">
      <c r="B20" s="1">
        <f>B19+15</f>
        <v>45808</v>
      </c>
      <c r="C20" s="19">
        <f>$C$5*0.35</f>
        <v>9200</v>
      </c>
      <c r="D20" s="29">
        <v>46181</v>
      </c>
      <c r="E20" s="20">
        <f t="shared" si="0"/>
        <v>2</v>
      </c>
      <c r="G20" s="19">
        <f t="shared" si="1"/>
        <v>-9200</v>
      </c>
    </row>
    <row r="21" spans="1:7" x14ac:dyDescent="0.25">
      <c r="B21" s="17">
        <f>B18+7</f>
        <v>45785</v>
      </c>
      <c r="C21" s="27">
        <f>$C$5*0.3</f>
        <v>7885.7142857142853</v>
      </c>
      <c r="D21" s="28">
        <v>46153</v>
      </c>
      <c r="E21" s="20">
        <f t="shared" si="0"/>
        <v>2</v>
      </c>
      <c r="G21" s="19">
        <f t="shared" si="1"/>
        <v>-7885.7142857142853</v>
      </c>
    </row>
    <row r="22" spans="1:7" x14ac:dyDescent="0.25">
      <c r="B22" s="17">
        <f>B21+15</f>
        <v>45800</v>
      </c>
      <c r="C22" s="27">
        <f>$C$5*0.35</f>
        <v>9200</v>
      </c>
      <c r="D22" s="28">
        <v>46167</v>
      </c>
      <c r="E22" s="20">
        <f t="shared" si="0"/>
        <v>2</v>
      </c>
      <c r="G22" s="19">
        <f t="shared" si="1"/>
        <v>-9200</v>
      </c>
    </row>
    <row r="23" spans="1:7" x14ac:dyDescent="0.25">
      <c r="B23" s="17">
        <f>B22+15</f>
        <v>45815</v>
      </c>
      <c r="C23" s="27">
        <f>$C$5*0.35</f>
        <v>9200</v>
      </c>
      <c r="D23" s="28">
        <v>46181</v>
      </c>
      <c r="E23" s="20">
        <f t="shared" si="0"/>
        <v>2</v>
      </c>
      <c r="G23" s="19">
        <f t="shared" si="1"/>
        <v>-9200</v>
      </c>
    </row>
    <row r="24" spans="1:7" x14ac:dyDescent="0.25">
      <c r="B24" s="1">
        <f>B21+7</f>
        <v>45792</v>
      </c>
      <c r="C24" s="19">
        <f>$C$5*0.3</f>
        <v>7885.7142857142853</v>
      </c>
      <c r="D24" s="29">
        <v>46167</v>
      </c>
      <c r="E24" s="20">
        <f t="shared" si="0"/>
        <v>2</v>
      </c>
      <c r="G24" s="19">
        <f t="shared" si="1"/>
        <v>-7885.7142857142853</v>
      </c>
    </row>
    <row r="25" spans="1:7" x14ac:dyDescent="0.25">
      <c r="B25" s="1">
        <f>B24+15</f>
        <v>45807</v>
      </c>
      <c r="C25" s="19">
        <f>$C$5*0.35</f>
        <v>9200</v>
      </c>
      <c r="D25" s="29">
        <v>46181</v>
      </c>
      <c r="E25" s="20">
        <f t="shared" si="0"/>
        <v>2</v>
      </c>
      <c r="G25" s="19">
        <f t="shared" si="1"/>
        <v>-9200</v>
      </c>
    </row>
    <row r="26" spans="1:7" x14ac:dyDescent="0.25">
      <c r="B26" s="1">
        <f>B25+15</f>
        <v>45822</v>
      </c>
      <c r="C26" s="19">
        <f>$C$5*0.35</f>
        <v>9200</v>
      </c>
      <c r="D26" s="29">
        <v>46195</v>
      </c>
      <c r="E26" s="20">
        <f t="shared" si="0"/>
        <v>2</v>
      </c>
      <c r="G26" s="19">
        <f t="shared" si="1"/>
        <v>-9200</v>
      </c>
    </row>
    <row r="27" spans="1:7" x14ac:dyDescent="0.25">
      <c r="B27" s="17">
        <f>B24+7</f>
        <v>45799</v>
      </c>
      <c r="C27" s="27">
        <f>$C$5*0.3</f>
        <v>7885.7142857142853</v>
      </c>
      <c r="D27" s="28">
        <v>46167</v>
      </c>
      <c r="E27" s="20">
        <f t="shared" si="0"/>
        <v>2</v>
      </c>
      <c r="G27" s="19">
        <f t="shared" si="1"/>
        <v>-7885.7142857142853</v>
      </c>
    </row>
    <row r="28" spans="1:7" x14ac:dyDescent="0.25">
      <c r="B28" s="17">
        <f>B27+15</f>
        <v>45814</v>
      </c>
      <c r="C28" s="27">
        <f>$C$5*0.35</f>
        <v>9200</v>
      </c>
      <c r="D28" s="28">
        <v>46181</v>
      </c>
      <c r="E28" s="20">
        <f t="shared" si="0"/>
        <v>2</v>
      </c>
      <c r="G28" s="19">
        <f t="shared" si="1"/>
        <v>-9200</v>
      </c>
    </row>
    <row r="29" spans="1:7" x14ac:dyDescent="0.25">
      <c r="B29" s="17">
        <f>B28+15</f>
        <v>45829</v>
      </c>
      <c r="C29" s="27">
        <f>$C$5*0.35</f>
        <v>9200</v>
      </c>
      <c r="D29" s="28">
        <v>46195</v>
      </c>
      <c r="E29" s="20">
        <f t="shared" si="0"/>
        <v>2</v>
      </c>
      <c r="G29" s="19">
        <f t="shared" si="1"/>
        <v>-9200</v>
      </c>
    </row>
    <row r="30" spans="1:7" x14ac:dyDescent="0.25">
      <c r="C30" s="19">
        <f>SUM(C9:C29)</f>
        <v>184000</v>
      </c>
      <c r="G30" s="19">
        <f t="shared" si="1"/>
        <v>-184000</v>
      </c>
    </row>
    <row r="32" spans="1:7" x14ac:dyDescent="0.25">
      <c r="A32" t="s">
        <v>340</v>
      </c>
      <c r="B32" s="16">
        <f>B35+B38</f>
        <v>210000</v>
      </c>
      <c r="C32" s="19">
        <f>B32/7</f>
        <v>30000</v>
      </c>
    </row>
    <row r="33" spans="1:7" x14ac:dyDescent="0.25">
      <c r="A33" t="s">
        <v>341</v>
      </c>
      <c r="B33" s="16">
        <v>3000</v>
      </c>
    </row>
    <row r="34" spans="1:7" x14ac:dyDescent="0.25">
      <c r="A34" t="s">
        <v>338</v>
      </c>
      <c r="B34">
        <v>47</v>
      </c>
    </row>
    <row r="35" spans="1:7" x14ac:dyDescent="0.25">
      <c r="A35" t="s">
        <v>339</v>
      </c>
      <c r="B35" s="16">
        <f>B33*B34</f>
        <v>141000</v>
      </c>
    </row>
    <row r="36" spans="1:7" x14ac:dyDescent="0.25">
      <c r="A36" t="s">
        <v>342</v>
      </c>
      <c r="B36" s="16">
        <v>3000</v>
      </c>
    </row>
    <row r="37" spans="1:7" x14ac:dyDescent="0.25">
      <c r="A37" t="s">
        <v>338</v>
      </c>
      <c r="B37">
        <v>23</v>
      </c>
    </row>
    <row r="38" spans="1:7" x14ac:dyDescent="0.25">
      <c r="A38" t="s">
        <v>339</v>
      </c>
      <c r="B38" s="16">
        <f>B36*B37</f>
        <v>69000</v>
      </c>
    </row>
    <row r="39" spans="1:7" x14ac:dyDescent="0.25">
      <c r="B39" t="s">
        <v>335</v>
      </c>
    </row>
    <row r="40" spans="1:7" x14ac:dyDescent="0.25">
      <c r="B40" s="1">
        <v>45757</v>
      </c>
      <c r="C40" s="19">
        <f>$C$32*0.3</f>
        <v>9000</v>
      </c>
      <c r="D40" s="29">
        <v>46118</v>
      </c>
      <c r="E40" s="20">
        <f>WEEKDAY(D40)</f>
        <v>2</v>
      </c>
      <c r="G40" s="19">
        <f>-C40</f>
        <v>-9000</v>
      </c>
    </row>
    <row r="41" spans="1:7" x14ac:dyDescent="0.25">
      <c r="B41" s="1">
        <v>45772</v>
      </c>
      <c r="C41" s="19">
        <f>$C$32*0.35</f>
        <v>10500</v>
      </c>
      <c r="D41" s="29">
        <v>45774</v>
      </c>
      <c r="E41" s="20">
        <f t="shared" ref="E41:E60" si="2">WEEKDAY(D41)</f>
        <v>1</v>
      </c>
      <c r="G41" s="19">
        <f t="shared" ref="G41:G60" si="3">-C41</f>
        <v>-10500</v>
      </c>
    </row>
    <row r="42" spans="1:7" x14ac:dyDescent="0.25">
      <c r="B42" s="1">
        <v>45787</v>
      </c>
      <c r="C42" s="19">
        <f>$C$32*0.35</f>
        <v>10500</v>
      </c>
      <c r="D42" s="29">
        <v>46153</v>
      </c>
      <c r="E42" s="20">
        <f t="shared" si="2"/>
        <v>2</v>
      </c>
      <c r="G42" s="19">
        <f t="shared" si="3"/>
        <v>-10500</v>
      </c>
    </row>
    <row r="43" spans="1:7" x14ac:dyDescent="0.25">
      <c r="B43" s="1">
        <v>45764</v>
      </c>
      <c r="C43" s="19">
        <f>$C$32*0.3</f>
        <v>9000</v>
      </c>
      <c r="D43" s="29">
        <v>45774</v>
      </c>
      <c r="E43" s="20">
        <f t="shared" si="2"/>
        <v>1</v>
      </c>
      <c r="G43" s="19">
        <f t="shared" si="3"/>
        <v>-9000</v>
      </c>
    </row>
    <row r="44" spans="1:7" x14ac:dyDescent="0.25">
      <c r="B44" s="1">
        <v>45779</v>
      </c>
      <c r="C44" s="19">
        <f>$C$32*0.35</f>
        <v>10500</v>
      </c>
      <c r="D44" s="29">
        <v>46153</v>
      </c>
      <c r="E44" s="20">
        <f t="shared" si="2"/>
        <v>2</v>
      </c>
      <c r="G44" s="19">
        <f t="shared" si="3"/>
        <v>-10500</v>
      </c>
    </row>
    <row r="45" spans="1:7" x14ac:dyDescent="0.25">
      <c r="B45" s="1">
        <v>45794</v>
      </c>
      <c r="C45" s="19">
        <f>$C$32*0.35</f>
        <v>10500</v>
      </c>
      <c r="D45" s="29">
        <v>46167</v>
      </c>
      <c r="E45" s="20">
        <f t="shared" si="2"/>
        <v>2</v>
      </c>
      <c r="G45" s="19">
        <f t="shared" si="3"/>
        <v>-10500</v>
      </c>
    </row>
    <row r="46" spans="1:7" x14ac:dyDescent="0.25">
      <c r="B46" s="1">
        <v>45771</v>
      </c>
      <c r="C46" s="19">
        <f>$C$32*0.3</f>
        <v>9000</v>
      </c>
      <c r="D46" s="29">
        <v>45774</v>
      </c>
      <c r="E46" s="20">
        <f t="shared" si="2"/>
        <v>1</v>
      </c>
      <c r="G46" s="19">
        <f t="shared" si="3"/>
        <v>-9000</v>
      </c>
    </row>
    <row r="47" spans="1:7" x14ac:dyDescent="0.25">
      <c r="B47" s="1">
        <v>45786</v>
      </c>
      <c r="C47" s="19">
        <f>$C$32*0.35</f>
        <v>10500</v>
      </c>
      <c r="D47" s="29">
        <v>46153</v>
      </c>
      <c r="E47" s="20">
        <f t="shared" si="2"/>
        <v>2</v>
      </c>
      <c r="G47" s="19">
        <f t="shared" si="3"/>
        <v>-10500</v>
      </c>
    </row>
    <row r="48" spans="1:7" x14ac:dyDescent="0.25">
      <c r="B48" s="1">
        <v>45801</v>
      </c>
      <c r="C48" s="19">
        <f>$C$32*0.35</f>
        <v>10500</v>
      </c>
      <c r="D48" s="29">
        <v>46167</v>
      </c>
      <c r="E48" s="20">
        <f t="shared" si="2"/>
        <v>2</v>
      </c>
      <c r="G48" s="19">
        <f t="shared" si="3"/>
        <v>-10500</v>
      </c>
    </row>
    <row r="49" spans="1:7" x14ac:dyDescent="0.25">
      <c r="B49" s="1">
        <v>45778</v>
      </c>
      <c r="C49" s="19">
        <f>$C$32*0.3</f>
        <v>9000</v>
      </c>
      <c r="D49" s="29">
        <v>46153</v>
      </c>
      <c r="E49" s="20">
        <f t="shared" si="2"/>
        <v>2</v>
      </c>
      <c r="G49" s="19">
        <f t="shared" si="3"/>
        <v>-9000</v>
      </c>
    </row>
    <row r="50" spans="1:7" x14ac:dyDescent="0.25">
      <c r="B50" s="1">
        <v>45793</v>
      </c>
      <c r="C50" s="19">
        <f>$C$32*0.35</f>
        <v>10500</v>
      </c>
      <c r="D50" s="29">
        <v>46167</v>
      </c>
      <c r="E50" s="20">
        <f t="shared" si="2"/>
        <v>2</v>
      </c>
      <c r="G50" s="19">
        <f t="shared" si="3"/>
        <v>-10500</v>
      </c>
    </row>
    <row r="51" spans="1:7" x14ac:dyDescent="0.25">
      <c r="B51" s="1">
        <v>45808</v>
      </c>
      <c r="C51" s="19">
        <f>$C$32*0.35</f>
        <v>10500</v>
      </c>
      <c r="D51" s="29">
        <v>46181</v>
      </c>
      <c r="E51" s="20">
        <f t="shared" si="2"/>
        <v>2</v>
      </c>
      <c r="G51" s="19">
        <f t="shared" si="3"/>
        <v>-10500</v>
      </c>
    </row>
    <row r="52" spans="1:7" x14ac:dyDescent="0.25">
      <c r="B52" s="1">
        <v>45785</v>
      </c>
      <c r="C52" s="19">
        <f>$C$32*0.3</f>
        <v>9000</v>
      </c>
      <c r="D52" s="29">
        <v>46153</v>
      </c>
      <c r="E52" s="20">
        <f t="shared" si="2"/>
        <v>2</v>
      </c>
      <c r="G52" s="19">
        <f t="shared" si="3"/>
        <v>-9000</v>
      </c>
    </row>
    <row r="53" spans="1:7" x14ac:dyDescent="0.25">
      <c r="B53" s="1">
        <v>45800</v>
      </c>
      <c r="C53" s="19">
        <f>$C$32*0.35</f>
        <v>10500</v>
      </c>
      <c r="D53" s="29">
        <v>46167</v>
      </c>
      <c r="E53" s="20">
        <f t="shared" si="2"/>
        <v>2</v>
      </c>
      <c r="G53" s="19">
        <f t="shared" si="3"/>
        <v>-10500</v>
      </c>
    </row>
    <row r="54" spans="1:7" x14ac:dyDescent="0.25">
      <c r="B54" s="1">
        <v>45815</v>
      </c>
      <c r="C54" s="19">
        <f>$C$32*0.35</f>
        <v>10500</v>
      </c>
      <c r="D54" s="29">
        <v>46181</v>
      </c>
      <c r="E54" s="20">
        <f t="shared" si="2"/>
        <v>2</v>
      </c>
      <c r="G54" s="19">
        <f t="shared" si="3"/>
        <v>-10500</v>
      </c>
    </row>
    <row r="55" spans="1:7" x14ac:dyDescent="0.25">
      <c r="B55" s="1">
        <v>45792</v>
      </c>
      <c r="C55" s="19">
        <f>$C$32*0.3</f>
        <v>9000</v>
      </c>
      <c r="D55" s="29">
        <v>46167</v>
      </c>
      <c r="E55" s="20">
        <f t="shared" si="2"/>
        <v>2</v>
      </c>
      <c r="G55" s="19">
        <f t="shared" si="3"/>
        <v>-9000</v>
      </c>
    </row>
    <row r="56" spans="1:7" x14ac:dyDescent="0.25">
      <c r="B56" s="1">
        <v>45807</v>
      </c>
      <c r="C56" s="19">
        <f>$C$32*0.35</f>
        <v>10500</v>
      </c>
      <c r="D56" s="29">
        <v>46181</v>
      </c>
      <c r="E56" s="20">
        <f t="shared" si="2"/>
        <v>2</v>
      </c>
      <c r="G56" s="19">
        <f t="shared" si="3"/>
        <v>-10500</v>
      </c>
    </row>
    <row r="57" spans="1:7" x14ac:dyDescent="0.25">
      <c r="B57" s="1">
        <v>45822</v>
      </c>
      <c r="C57" s="19">
        <f>$C$32*0.35</f>
        <v>10500</v>
      </c>
      <c r="D57" s="29">
        <v>46195</v>
      </c>
      <c r="E57" s="20">
        <f t="shared" si="2"/>
        <v>2</v>
      </c>
      <c r="G57" s="19">
        <f t="shared" si="3"/>
        <v>-10500</v>
      </c>
    </row>
    <row r="58" spans="1:7" x14ac:dyDescent="0.25">
      <c r="B58" s="1">
        <v>45799</v>
      </c>
      <c r="C58" s="19">
        <f>$C$32*0.3</f>
        <v>9000</v>
      </c>
      <c r="D58" s="29">
        <v>46167</v>
      </c>
      <c r="E58" s="20">
        <f t="shared" si="2"/>
        <v>2</v>
      </c>
      <c r="G58" s="19">
        <f t="shared" si="3"/>
        <v>-9000</v>
      </c>
    </row>
    <row r="59" spans="1:7" x14ac:dyDescent="0.25">
      <c r="B59" s="1">
        <v>45814</v>
      </c>
      <c r="C59" s="19">
        <f>$C$32*0.35</f>
        <v>10500</v>
      </c>
      <c r="D59" s="29">
        <v>46181</v>
      </c>
      <c r="E59" s="20">
        <f t="shared" si="2"/>
        <v>2</v>
      </c>
      <c r="G59" s="19">
        <f t="shared" si="3"/>
        <v>-10500</v>
      </c>
    </row>
    <row r="60" spans="1:7" x14ac:dyDescent="0.25">
      <c r="B60" s="1">
        <v>45829</v>
      </c>
      <c r="C60" s="19">
        <f>$C$32*0.35</f>
        <v>10500</v>
      </c>
      <c r="D60" s="29">
        <v>46195</v>
      </c>
      <c r="E60" s="20">
        <f t="shared" si="2"/>
        <v>2</v>
      </c>
      <c r="G60" s="19">
        <f t="shared" si="3"/>
        <v>-10500</v>
      </c>
    </row>
    <row r="61" spans="1:7" x14ac:dyDescent="0.25">
      <c r="C61" s="19">
        <f>SUM(C40:C60)</f>
        <v>210000</v>
      </c>
    </row>
    <row r="64" spans="1:7" x14ac:dyDescent="0.25">
      <c r="A64" t="s">
        <v>351</v>
      </c>
      <c r="B64" t="s">
        <v>352</v>
      </c>
      <c r="C64" t="s">
        <v>353</v>
      </c>
    </row>
    <row r="65" spans="1:1" x14ac:dyDescent="0.25">
      <c r="A65" t="s">
        <v>354</v>
      </c>
    </row>
    <row r="678" spans="12:12" x14ac:dyDescent="0.25">
      <c r="L678">
        <v>1196695.33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8483-A5EB-4BA2-AAE2-00335AC9B99C}">
  <dimension ref="B2:T77"/>
  <sheetViews>
    <sheetView showGridLines="0" workbookViewId="0">
      <selection activeCell="D10" sqref="D10"/>
    </sheetView>
  </sheetViews>
  <sheetFormatPr defaultRowHeight="15" x14ac:dyDescent="0.25"/>
  <cols>
    <col min="2" max="2" width="35.140625" style="1" customWidth="1"/>
    <col min="3" max="3" width="34.7109375" style="1" customWidth="1"/>
    <col min="4" max="4" width="27.5703125" style="1" customWidth="1"/>
    <col min="5" max="5" width="27.7109375" style="1" customWidth="1"/>
    <col min="6" max="6" width="28" style="1" customWidth="1"/>
    <col min="7" max="7" width="37.85546875" customWidth="1"/>
    <col min="9" max="9" width="11.5703125" customWidth="1"/>
    <col min="10" max="10" width="16" customWidth="1"/>
    <col min="11" max="11" width="18.85546875" customWidth="1"/>
    <col min="12" max="12" width="20.140625" customWidth="1"/>
    <col min="13" max="13" width="16.5703125" customWidth="1"/>
    <col min="14" max="14" width="16" customWidth="1"/>
    <col min="15" max="15" width="184.7109375" bestFit="1" customWidth="1"/>
    <col min="16" max="16" width="9.7109375" customWidth="1"/>
    <col min="18" max="18" width="23.85546875" customWidth="1"/>
    <col min="19" max="19" width="20.42578125" customWidth="1"/>
    <col min="20" max="20" width="33.85546875" bestFit="1" customWidth="1"/>
  </cols>
  <sheetData>
    <row r="2" spans="2:2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178</v>
      </c>
    </row>
    <row r="3" spans="2:20" x14ac:dyDescent="0.25">
      <c r="B3" s="1">
        <v>46080</v>
      </c>
      <c r="C3" s="1">
        <v>46080</v>
      </c>
      <c r="D3" s="1">
        <v>46080</v>
      </c>
      <c r="E3" s="1">
        <v>46080</v>
      </c>
      <c r="F3" s="1">
        <v>46080</v>
      </c>
      <c r="G3" t="s">
        <v>18</v>
      </c>
      <c r="H3" t="s">
        <v>19</v>
      </c>
      <c r="I3" t="s">
        <v>20</v>
      </c>
      <c r="J3">
        <v>200000</v>
      </c>
      <c r="K3">
        <v>200000</v>
      </c>
      <c r="L3">
        <v>0</v>
      </c>
      <c r="M3" t="s">
        <v>21</v>
      </c>
      <c r="N3" t="s">
        <v>22</v>
      </c>
      <c r="O3" t="s">
        <v>23</v>
      </c>
      <c r="P3" t="s">
        <v>24</v>
      </c>
      <c r="Q3" t="s">
        <v>23</v>
      </c>
      <c r="R3" t="s">
        <v>23</v>
      </c>
      <c r="S3" t="s">
        <v>25</v>
      </c>
      <c r="T3" t="str">
        <f>_xlfn.XLOOKUP(Tabela1[[#This Row],[Categoria]],CATEGORIAS!$C:$C,CATEGORIAS!$D:$D,"")</f>
        <v>1.4 Outras Entradas</v>
      </c>
    </row>
    <row r="4" spans="2:20" x14ac:dyDescent="0.25">
      <c r="B4" s="1">
        <v>46082</v>
      </c>
      <c r="C4" s="1">
        <v>46082</v>
      </c>
      <c r="D4" s="1">
        <v>46082</v>
      </c>
      <c r="E4" s="1">
        <v>46082</v>
      </c>
      <c r="F4" s="1">
        <v>46082</v>
      </c>
      <c r="G4" t="s">
        <v>232</v>
      </c>
      <c r="H4" t="s">
        <v>19</v>
      </c>
      <c r="I4" t="s">
        <v>20</v>
      </c>
      <c r="J4">
        <v>199.83</v>
      </c>
      <c r="K4">
        <v>199.83</v>
      </c>
      <c r="L4">
        <v>0</v>
      </c>
      <c r="M4" t="s">
        <v>21</v>
      </c>
      <c r="N4" t="s">
        <v>22</v>
      </c>
      <c r="O4" t="s">
        <v>233</v>
      </c>
      <c r="P4" t="s">
        <v>234</v>
      </c>
      <c r="Q4" t="s">
        <v>23</v>
      </c>
      <c r="R4" t="s">
        <v>23</v>
      </c>
      <c r="S4" t="s">
        <v>25</v>
      </c>
      <c r="T4" t="str">
        <f>_xlfn.XLOOKUP(Tabela1[[#This Row],[Categoria]],CATEGORIAS!$C:$C,CATEGORIAS!$D:$D,"")</f>
        <v>1.4 Outras Entradas</v>
      </c>
    </row>
    <row r="5" spans="2:20" x14ac:dyDescent="0.25">
      <c r="B5" s="1">
        <v>46083</v>
      </c>
      <c r="C5" s="1">
        <v>46083</v>
      </c>
      <c r="D5" s="1">
        <v>46083</v>
      </c>
      <c r="E5" s="1">
        <v>46083</v>
      </c>
      <c r="F5" s="1">
        <v>46083</v>
      </c>
      <c r="G5" t="s">
        <v>35</v>
      </c>
      <c r="H5" t="s">
        <v>27</v>
      </c>
      <c r="I5" t="s">
        <v>28</v>
      </c>
      <c r="J5">
        <v>-1320</v>
      </c>
      <c r="K5">
        <v>-1320</v>
      </c>
      <c r="L5">
        <v>0</v>
      </c>
      <c r="M5" t="s">
        <v>21</v>
      </c>
      <c r="N5" t="s">
        <v>29</v>
      </c>
      <c r="O5" t="s">
        <v>36</v>
      </c>
      <c r="P5" t="s">
        <v>31</v>
      </c>
      <c r="Q5" t="s">
        <v>23</v>
      </c>
      <c r="R5" t="s">
        <v>23</v>
      </c>
      <c r="S5" t="s">
        <v>25</v>
      </c>
      <c r="T5" t="str">
        <f>_xlfn.XLOOKUP(Tabela1[[#This Row],[Categoria]],CATEGORIAS!$C:$C,CATEGORIAS!$D:$D,"")</f>
        <v>2.2 Despesas de Vendas e Marketing</v>
      </c>
    </row>
    <row r="6" spans="2:20" x14ac:dyDescent="0.25">
      <c r="B6" s="1">
        <v>46083</v>
      </c>
      <c r="C6" s="1">
        <v>46083</v>
      </c>
      <c r="D6" s="1">
        <v>46083</v>
      </c>
      <c r="E6" s="1">
        <v>46083</v>
      </c>
      <c r="F6" s="1">
        <v>46083</v>
      </c>
      <c r="G6" t="s">
        <v>26</v>
      </c>
      <c r="H6" t="s">
        <v>27</v>
      </c>
      <c r="I6" t="s">
        <v>28</v>
      </c>
      <c r="J6">
        <v>-1000</v>
      </c>
      <c r="K6">
        <v>-1000</v>
      </c>
      <c r="L6">
        <v>0</v>
      </c>
      <c r="M6" t="s">
        <v>21</v>
      </c>
      <c r="N6" t="s">
        <v>29</v>
      </c>
      <c r="O6" t="s">
        <v>30</v>
      </c>
      <c r="P6" t="s">
        <v>31</v>
      </c>
      <c r="Q6" t="s">
        <v>23</v>
      </c>
      <c r="R6" t="s">
        <v>23</v>
      </c>
      <c r="S6" t="s">
        <v>25</v>
      </c>
      <c r="T6" t="str">
        <f>_xlfn.XLOOKUP(Tabela1[[#This Row],[Categoria]],CATEGORIAS!$C:$C,CATEGORIAS!$D:$D,"")</f>
        <v>2.2 Despesas de Vendas e Marketing</v>
      </c>
    </row>
    <row r="7" spans="2:20" x14ac:dyDescent="0.25">
      <c r="B7" s="1">
        <v>46083</v>
      </c>
      <c r="C7" s="1">
        <v>46083</v>
      </c>
      <c r="D7" s="1">
        <v>46083</v>
      </c>
      <c r="E7" s="1">
        <v>46083</v>
      </c>
      <c r="F7" s="1">
        <v>46083</v>
      </c>
      <c r="G7" t="s">
        <v>18</v>
      </c>
      <c r="H7" t="s">
        <v>19</v>
      </c>
      <c r="I7" t="s">
        <v>20</v>
      </c>
      <c r="J7">
        <v>31000</v>
      </c>
      <c r="K7">
        <v>31000</v>
      </c>
      <c r="L7">
        <v>0</v>
      </c>
      <c r="M7" t="s">
        <v>21</v>
      </c>
      <c r="N7" t="s">
        <v>22</v>
      </c>
      <c r="O7" t="s">
        <v>23</v>
      </c>
      <c r="P7" t="s">
        <v>24</v>
      </c>
      <c r="Q7" t="s">
        <v>23</v>
      </c>
      <c r="R7" t="s">
        <v>23</v>
      </c>
      <c r="S7" t="s">
        <v>25</v>
      </c>
      <c r="T7" t="str">
        <f>_xlfn.XLOOKUP(Tabela1[[#This Row],[Categoria]],CATEGORIAS!$C:$C,CATEGORIAS!$D:$D,"")</f>
        <v>1.4 Outras Entradas</v>
      </c>
    </row>
    <row r="8" spans="2:20" x14ac:dyDescent="0.25">
      <c r="B8" s="1">
        <v>46083</v>
      </c>
      <c r="C8" s="1">
        <v>46083</v>
      </c>
      <c r="D8" s="1">
        <v>46082</v>
      </c>
      <c r="E8" s="1">
        <v>46082</v>
      </c>
      <c r="F8" s="1">
        <v>46083</v>
      </c>
      <c r="G8" t="s">
        <v>32</v>
      </c>
      <c r="H8" t="s">
        <v>27</v>
      </c>
      <c r="I8" t="s">
        <v>33</v>
      </c>
      <c r="J8">
        <v>-7820.8</v>
      </c>
      <c r="K8">
        <v>-7820.8</v>
      </c>
      <c r="L8">
        <v>0</v>
      </c>
      <c r="M8" t="s">
        <v>21</v>
      </c>
      <c r="N8" t="s">
        <v>29</v>
      </c>
      <c r="O8" t="s">
        <v>34</v>
      </c>
      <c r="P8" t="s">
        <v>31</v>
      </c>
      <c r="Q8" t="s">
        <v>23</v>
      </c>
      <c r="R8" t="s">
        <v>23</v>
      </c>
      <c r="S8" t="s">
        <v>25</v>
      </c>
      <c r="T8" t="str">
        <f>_xlfn.XLOOKUP(Tabela1[[#This Row],[Categoria]],CATEGORIAS!$C:$C,CATEGORIAS!$D:$D,"")</f>
        <v>2.4 Despesas Administrativas</v>
      </c>
    </row>
    <row r="9" spans="2:20" x14ac:dyDescent="0.25">
      <c r="B9" s="1">
        <v>46084</v>
      </c>
      <c r="C9" s="1">
        <v>46084</v>
      </c>
      <c r="D9" s="1">
        <v>46084</v>
      </c>
      <c r="E9" s="1">
        <v>46084</v>
      </c>
      <c r="F9" s="1">
        <v>46084</v>
      </c>
      <c r="G9" t="s">
        <v>42</v>
      </c>
      <c r="H9" t="s">
        <v>27</v>
      </c>
      <c r="I9" t="s">
        <v>43</v>
      </c>
      <c r="J9">
        <v>-101.8</v>
      </c>
      <c r="K9">
        <v>-101.8</v>
      </c>
      <c r="L9">
        <v>0</v>
      </c>
      <c r="M9" t="s">
        <v>21</v>
      </c>
      <c r="N9" t="s">
        <v>29</v>
      </c>
      <c r="O9" t="s">
        <v>44</v>
      </c>
      <c r="P9" t="s">
        <v>31</v>
      </c>
      <c r="Q9" t="s">
        <v>23</v>
      </c>
      <c r="R9" t="s">
        <v>23</v>
      </c>
      <c r="S9" t="s">
        <v>25</v>
      </c>
      <c r="T9" t="str">
        <f>_xlfn.XLOOKUP(Tabela1[[#This Row],[Categoria]],CATEGORIAS!$C:$C,CATEGORIAS!$D:$D,"")</f>
        <v>2.4 Despesas Administrativas</v>
      </c>
    </row>
    <row r="10" spans="2:20" x14ac:dyDescent="0.25">
      <c r="B10" s="1">
        <v>46084</v>
      </c>
      <c r="C10" s="1">
        <v>46084</v>
      </c>
      <c r="D10" s="1">
        <v>46108</v>
      </c>
      <c r="E10" s="1">
        <v>46108</v>
      </c>
      <c r="F10" s="1">
        <v>46084</v>
      </c>
      <c r="G10" t="s">
        <v>235</v>
      </c>
      <c r="H10" t="s">
        <v>27</v>
      </c>
      <c r="I10" t="s">
        <v>142</v>
      </c>
      <c r="J10">
        <v>-15971.55</v>
      </c>
      <c r="K10">
        <v>-15971.55</v>
      </c>
      <c r="L10">
        <v>0</v>
      </c>
      <c r="M10" t="s">
        <v>185</v>
      </c>
      <c r="N10" t="s">
        <v>215</v>
      </c>
      <c r="O10" t="s">
        <v>236</v>
      </c>
      <c r="P10" t="s">
        <v>31</v>
      </c>
      <c r="Q10" t="s">
        <v>23</v>
      </c>
      <c r="R10" t="s">
        <v>228</v>
      </c>
      <c r="S10" t="s">
        <v>25</v>
      </c>
      <c r="T10" t="str">
        <f>_xlfn.XLOOKUP(Tabela1[[#This Row],[Categoria]],CATEGORIAS!$C:$C,CATEGORIAS!$D:$D,"")</f>
        <v>2.4 Despesas Administrativas</v>
      </c>
    </row>
    <row r="11" spans="2:20" x14ac:dyDescent="0.25">
      <c r="B11" s="1">
        <v>46084</v>
      </c>
      <c r="C11" s="1">
        <v>46084</v>
      </c>
      <c r="D11" s="1">
        <v>46097</v>
      </c>
      <c r="E11" s="1">
        <v>46097</v>
      </c>
      <c r="F11" s="1">
        <v>46097</v>
      </c>
      <c r="G11" t="s">
        <v>18</v>
      </c>
      <c r="H11" t="s">
        <v>19</v>
      </c>
      <c r="I11" t="s">
        <v>20</v>
      </c>
      <c r="J11">
        <v>15998.323665</v>
      </c>
      <c r="K11">
        <v>15971.55</v>
      </c>
      <c r="L11">
        <v>26.773665000000001</v>
      </c>
      <c r="M11" t="s">
        <v>185</v>
      </c>
      <c r="N11" t="s">
        <v>22</v>
      </c>
      <c r="O11" t="s">
        <v>23</v>
      </c>
      <c r="P11" t="s">
        <v>24</v>
      </c>
      <c r="Q11" t="s">
        <v>23</v>
      </c>
      <c r="R11" t="s">
        <v>23</v>
      </c>
      <c r="S11" t="s">
        <v>25</v>
      </c>
      <c r="T11" t="str">
        <f>_xlfn.XLOOKUP(Tabela1[[#This Row],[Categoria]],CATEGORIAS!$C:$C,CATEGORIAS!$D:$D,"")</f>
        <v>1.4 Outras Entradas</v>
      </c>
    </row>
    <row r="12" spans="2:20" x14ac:dyDescent="0.25">
      <c r="B12" s="1">
        <v>46084</v>
      </c>
      <c r="C12" s="1">
        <v>46084</v>
      </c>
      <c r="D12" s="1">
        <v>46085</v>
      </c>
      <c r="E12" s="1">
        <v>46085</v>
      </c>
      <c r="F12" s="1">
        <v>46084</v>
      </c>
      <c r="G12" t="s">
        <v>37</v>
      </c>
      <c r="H12" t="s">
        <v>27</v>
      </c>
      <c r="I12" t="s">
        <v>38</v>
      </c>
      <c r="J12">
        <v>-423.09</v>
      </c>
      <c r="K12">
        <v>-423.09</v>
      </c>
      <c r="L12">
        <v>0</v>
      </c>
      <c r="M12" t="s">
        <v>21</v>
      </c>
      <c r="N12" t="s">
        <v>29</v>
      </c>
      <c r="O12" t="s">
        <v>39</v>
      </c>
      <c r="P12" t="s">
        <v>31</v>
      </c>
      <c r="Q12" t="s">
        <v>23</v>
      </c>
      <c r="R12" t="s">
        <v>23</v>
      </c>
      <c r="S12" t="s">
        <v>25</v>
      </c>
      <c r="T12" t="str">
        <f>_xlfn.XLOOKUP(Tabela1[[#This Row],[Categoria]],CATEGORIAS!$C:$C,CATEGORIAS!$D:$D,"")</f>
        <v>2.4 Despesas Administrativas</v>
      </c>
    </row>
    <row r="13" spans="2:20" x14ac:dyDescent="0.25">
      <c r="B13" s="1">
        <v>46084</v>
      </c>
      <c r="C13" s="1">
        <v>46084</v>
      </c>
      <c r="D13" s="1">
        <v>46094</v>
      </c>
      <c r="E13" s="1">
        <v>46094</v>
      </c>
      <c r="F13" s="1">
        <v>46084</v>
      </c>
      <c r="G13" t="s">
        <v>42</v>
      </c>
      <c r="H13" t="s">
        <v>27</v>
      </c>
      <c r="I13" t="s">
        <v>45</v>
      </c>
      <c r="J13">
        <v>-400</v>
      </c>
      <c r="K13">
        <v>-400</v>
      </c>
      <c r="L13">
        <v>0</v>
      </c>
      <c r="M13" t="s">
        <v>21</v>
      </c>
      <c r="N13" t="s">
        <v>29</v>
      </c>
      <c r="O13" t="s">
        <v>46</v>
      </c>
      <c r="P13" t="s">
        <v>31</v>
      </c>
      <c r="Q13" t="s">
        <v>23</v>
      </c>
      <c r="R13" t="s">
        <v>23</v>
      </c>
      <c r="S13" t="s">
        <v>25</v>
      </c>
      <c r="T13" t="str">
        <f>_xlfn.XLOOKUP(Tabela1[[#This Row],[Categoria]],CATEGORIAS!$C:$C,CATEGORIAS!$D:$D,"")</f>
        <v>2.4 Despesas Administrativas</v>
      </c>
    </row>
    <row r="14" spans="2:20" x14ac:dyDescent="0.25">
      <c r="B14" s="1">
        <v>46084</v>
      </c>
      <c r="C14" s="1">
        <v>46084</v>
      </c>
      <c r="D14" s="1">
        <v>46084</v>
      </c>
      <c r="E14" s="1">
        <v>46084</v>
      </c>
      <c r="F14" s="1">
        <v>46084</v>
      </c>
      <c r="G14" t="s">
        <v>40</v>
      </c>
      <c r="H14" t="s">
        <v>27</v>
      </c>
      <c r="I14" t="s">
        <v>38</v>
      </c>
      <c r="J14">
        <v>-1000</v>
      </c>
      <c r="K14">
        <v>-1000</v>
      </c>
      <c r="L14">
        <v>0</v>
      </c>
      <c r="M14" t="s">
        <v>21</v>
      </c>
      <c r="N14" t="s">
        <v>29</v>
      </c>
      <c r="O14" t="s">
        <v>41</v>
      </c>
      <c r="P14" t="s">
        <v>31</v>
      </c>
      <c r="Q14" t="s">
        <v>23</v>
      </c>
      <c r="R14" t="s">
        <v>23</v>
      </c>
      <c r="S14" t="s">
        <v>25</v>
      </c>
      <c r="T14" t="str">
        <f>_xlfn.XLOOKUP(Tabela1[[#This Row],[Categoria]],CATEGORIAS!$C:$C,CATEGORIAS!$D:$D,"")</f>
        <v>2.4 Despesas Administrativas</v>
      </c>
    </row>
    <row r="15" spans="2:20" x14ac:dyDescent="0.25">
      <c r="B15" s="1">
        <v>46085</v>
      </c>
      <c r="C15" s="1">
        <v>46085</v>
      </c>
      <c r="D15" s="1">
        <v>46085</v>
      </c>
      <c r="E15" s="1">
        <v>46085</v>
      </c>
      <c r="F15" s="1">
        <v>46085</v>
      </c>
      <c r="G15" t="s">
        <v>47</v>
      </c>
      <c r="H15" t="s">
        <v>27</v>
      </c>
      <c r="I15" t="s">
        <v>43</v>
      </c>
      <c r="J15">
        <v>-18</v>
      </c>
      <c r="K15">
        <v>-18</v>
      </c>
      <c r="L15">
        <v>0</v>
      </c>
      <c r="M15" t="s">
        <v>21</v>
      </c>
      <c r="N15" t="s">
        <v>29</v>
      </c>
      <c r="O15" t="s">
        <v>48</v>
      </c>
      <c r="P15" t="s">
        <v>31</v>
      </c>
      <c r="Q15" t="s">
        <v>23</v>
      </c>
      <c r="R15" t="s">
        <v>23</v>
      </c>
      <c r="S15" t="s">
        <v>25</v>
      </c>
      <c r="T15" t="str">
        <f>_xlfn.XLOOKUP(Tabela1[[#This Row],[Categoria]],CATEGORIAS!$C:$C,CATEGORIAS!$D:$D,"")</f>
        <v>2.4 Despesas Administrativas</v>
      </c>
    </row>
    <row r="16" spans="2:20" x14ac:dyDescent="0.25">
      <c r="B16" s="1">
        <v>46085</v>
      </c>
      <c r="C16" s="1">
        <v>46085</v>
      </c>
      <c r="D16" s="1">
        <v>46085</v>
      </c>
      <c r="E16" s="1">
        <v>46085</v>
      </c>
      <c r="F16" s="1">
        <v>46085</v>
      </c>
      <c r="G16" t="s">
        <v>47</v>
      </c>
      <c r="H16" t="s">
        <v>27</v>
      </c>
      <c r="I16" t="s">
        <v>43</v>
      </c>
      <c r="J16">
        <v>-24</v>
      </c>
      <c r="K16">
        <v>-24</v>
      </c>
      <c r="L16">
        <v>0</v>
      </c>
      <c r="M16" t="s">
        <v>21</v>
      </c>
      <c r="N16" t="s">
        <v>29</v>
      </c>
      <c r="O16" t="s">
        <v>51</v>
      </c>
      <c r="P16" t="s">
        <v>31</v>
      </c>
      <c r="Q16" t="s">
        <v>23</v>
      </c>
      <c r="R16" t="s">
        <v>23</v>
      </c>
      <c r="S16" t="s">
        <v>25</v>
      </c>
      <c r="T16" t="str">
        <f>_xlfn.XLOOKUP(Tabela1[[#This Row],[Categoria]],CATEGORIAS!$C:$C,CATEGORIAS!$D:$D,"")</f>
        <v>2.4 Despesas Administrativas</v>
      </c>
    </row>
    <row r="17" spans="2:20" x14ac:dyDescent="0.25">
      <c r="B17" s="1">
        <v>46085</v>
      </c>
      <c r="C17" s="1">
        <v>46085</v>
      </c>
      <c r="D17" s="1">
        <v>46085</v>
      </c>
      <c r="E17" s="1">
        <v>46085</v>
      </c>
      <c r="F17" s="1">
        <v>46085</v>
      </c>
      <c r="G17" t="s">
        <v>40</v>
      </c>
      <c r="H17" t="s">
        <v>27</v>
      </c>
      <c r="I17" t="s">
        <v>49</v>
      </c>
      <c r="J17">
        <v>-4100</v>
      </c>
      <c r="K17">
        <v>-4100</v>
      </c>
      <c r="L17">
        <v>0</v>
      </c>
      <c r="M17" t="s">
        <v>21</v>
      </c>
      <c r="N17" t="s">
        <v>22</v>
      </c>
      <c r="O17" t="s">
        <v>50</v>
      </c>
      <c r="P17" t="s">
        <v>31</v>
      </c>
      <c r="Q17" t="s">
        <v>23</v>
      </c>
      <c r="R17" t="s">
        <v>23</v>
      </c>
      <c r="S17" t="s">
        <v>25</v>
      </c>
      <c r="T17" t="str">
        <f>_xlfn.XLOOKUP(Tabela1[[#This Row],[Categoria]],CATEGORIAS!$C:$C,CATEGORIAS!$D:$D,"")</f>
        <v>2.5 Despesas Financeiras / Bancos</v>
      </c>
    </row>
    <row r="18" spans="2:20" x14ac:dyDescent="0.25">
      <c r="B18" s="1">
        <v>46085</v>
      </c>
      <c r="C18" s="1">
        <v>46085</v>
      </c>
      <c r="D18" s="1">
        <v>46085</v>
      </c>
      <c r="E18" s="1">
        <v>46085</v>
      </c>
      <c r="F18" s="1">
        <v>46085</v>
      </c>
      <c r="G18" t="s">
        <v>47</v>
      </c>
      <c r="H18" t="s">
        <v>27</v>
      </c>
      <c r="I18" t="s">
        <v>43</v>
      </c>
      <c r="J18">
        <v>-66.69</v>
      </c>
      <c r="K18">
        <v>-66.69</v>
      </c>
      <c r="L18">
        <v>0</v>
      </c>
      <c r="M18" t="s">
        <v>21</v>
      </c>
      <c r="N18" t="s">
        <v>22</v>
      </c>
      <c r="O18" t="s">
        <v>52</v>
      </c>
      <c r="P18" t="s">
        <v>31</v>
      </c>
      <c r="Q18" t="s">
        <v>23</v>
      </c>
      <c r="R18" t="s">
        <v>23</v>
      </c>
      <c r="S18" t="s">
        <v>25</v>
      </c>
      <c r="T18" t="str">
        <f>_xlfn.XLOOKUP(Tabela1[[#This Row],[Categoria]],CATEGORIAS!$C:$C,CATEGORIAS!$D:$D,"")</f>
        <v>2.4 Despesas Administrativas</v>
      </c>
    </row>
    <row r="19" spans="2:20" x14ac:dyDescent="0.25">
      <c r="B19" s="1">
        <v>46085</v>
      </c>
      <c r="C19" s="1">
        <v>46085</v>
      </c>
      <c r="D19" s="1">
        <v>46085</v>
      </c>
      <c r="E19" s="1">
        <v>46085</v>
      </c>
      <c r="F19" s="1">
        <v>46085</v>
      </c>
      <c r="G19" t="s">
        <v>53</v>
      </c>
      <c r="H19" t="s">
        <v>27</v>
      </c>
      <c r="I19" t="s">
        <v>43</v>
      </c>
      <c r="J19">
        <v>-229</v>
      </c>
      <c r="K19">
        <v>-229</v>
      </c>
      <c r="L19">
        <v>0</v>
      </c>
      <c r="M19" t="s">
        <v>21</v>
      </c>
      <c r="N19" t="s">
        <v>29</v>
      </c>
      <c r="O19" t="s">
        <v>54</v>
      </c>
      <c r="P19" t="s">
        <v>31</v>
      </c>
      <c r="Q19" t="s">
        <v>23</v>
      </c>
      <c r="R19" t="s">
        <v>23</v>
      </c>
      <c r="S19" t="s">
        <v>25</v>
      </c>
      <c r="T19" t="str">
        <f>_xlfn.XLOOKUP(Tabela1[[#This Row],[Categoria]],CATEGORIAS!$C:$C,CATEGORIAS!$D:$D,"")</f>
        <v>2.4 Despesas Administrativas</v>
      </c>
    </row>
    <row r="20" spans="2:20" x14ac:dyDescent="0.25">
      <c r="B20" s="1">
        <v>46085</v>
      </c>
      <c r="C20" s="1">
        <v>46085</v>
      </c>
      <c r="D20" s="1">
        <v>46085</v>
      </c>
      <c r="E20" s="1">
        <v>46085</v>
      </c>
      <c r="F20" s="1">
        <v>46085</v>
      </c>
      <c r="G20" t="s">
        <v>47</v>
      </c>
      <c r="H20" t="s">
        <v>27</v>
      </c>
      <c r="I20" t="s">
        <v>43</v>
      </c>
      <c r="J20">
        <v>-59.7</v>
      </c>
      <c r="K20">
        <v>-59.7</v>
      </c>
      <c r="L20">
        <v>0</v>
      </c>
      <c r="M20" t="s">
        <v>21</v>
      </c>
      <c r="N20" t="s">
        <v>29</v>
      </c>
      <c r="O20" t="s">
        <v>55</v>
      </c>
      <c r="P20" t="s">
        <v>31</v>
      </c>
      <c r="Q20" t="s">
        <v>23</v>
      </c>
      <c r="R20" t="s">
        <v>23</v>
      </c>
      <c r="S20" t="s">
        <v>25</v>
      </c>
      <c r="T20" t="str">
        <f>_xlfn.XLOOKUP(Tabela1[[#This Row],[Categoria]],CATEGORIAS!$C:$C,CATEGORIAS!$D:$D,"")</f>
        <v>2.4 Despesas Administrativas</v>
      </c>
    </row>
    <row r="21" spans="2:20" x14ac:dyDescent="0.25">
      <c r="B21" s="1">
        <v>46087</v>
      </c>
      <c r="C21" s="1">
        <v>46087</v>
      </c>
      <c r="D21" s="1">
        <v>46087</v>
      </c>
      <c r="E21" s="1">
        <v>46087</v>
      </c>
      <c r="F21" s="1">
        <v>46087</v>
      </c>
      <c r="G21" t="s">
        <v>40</v>
      </c>
      <c r="H21" t="s">
        <v>27</v>
      </c>
      <c r="I21" t="s">
        <v>231</v>
      </c>
      <c r="J21">
        <v>-85.75</v>
      </c>
      <c r="K21">
        <v>-85.75</v>
      </c>
      <c r="L21">
        <v>0</v>
      </c>
      <c r="M21" t="s">
        <v>21</v>
      </c>
      <c r="N21" t="s">
        <v>22</v>
      </c>
      <c r="O21" t="s">
        <v>58</v>
      </c>
      <c r="P21" t="s">
        <v>31</v>
      </c>
      <c r="Q21" t="s">
        <v>23</v>
      </c>
      <c r="R21" t="s">
        <v>23</v>
      </c>
      <c r="S21" t="s">
        <v>25</v>
      </c>
      <c r="T21" t="str">
        <f>_xlfn.XLOOKUP(Tabela1[[#This Row],[Categoria]],CATEGORIAS!$C:$C,CATEGORIAS!$D:$D,"")</f>
        <v>2.8 Outras Despesas</v>
      </c>
    </row>
    <row r="22" spans="2:20" x14ac:dyDescent="0.25">
      <c r="B22" s="1">
        <v>46087</v>
      </c>
      <c r="C22" s="1">
        <v>46087</v>
      </c>
      <c r="D22" s="1">
        <v>46087</v>
      </c>
      <c r="E22" s="1">
        <v>46087</v>
      </c>
      <c r="F22" s="1">
        <v>46087</v>
      </c>
      <c r="G22" t="s">
        <v>42</v>
      </c>
      <c r="H22" t="s">
        <v>27</v>
      </c>
      <c r="I22" t="s">
        <v>45</v>
      </c>
      <c r="J22">
        <v>-1460</v>
      </c>
      <c r="K22">
        <v>-1460</v>
      </c>
      <c r="L22">
        <v>0</v>
      </c>
      <c r="M22" t="s">
        <v>21</v>
      </c>
      <c r="N22" t="s">
        <v>29</v>
      </c>
      <c r="O22" t="s">
        <v>56</v>
      </c>
      <c r="P22" t="s">
        <v>31</v>
      </c>
      <c r="Q22" t="s">
        <v>23</v>
      </c>
      <c r="R22" t="s">
        <v>23</v>
      </c>
      <c r="S22" t="s">
        <v>25</v>
      </c>
      <c r="T22" t="str">
        <f>_xlfn.XLOOKUP(Tabela1[[#This Row],[Categoria]],CATEGORIAS!$C:$C,CATEGORIAS!$D:$D,"")</f>
        <v>2.4 Despesas Administrativas</v>
      </c>
    </row>
    <row r="23" spans="2:20" x14ac:dyDescent="0.25">
      <c r="B23" s="1">
        <v>46087</v>
      </c>
      <c r="C23" s="1">
        <v>46087</v>
      </c>
      <c r="D23" s="1">
        <v>46087</v>
      </c>
      <c r="E23" s="1">
        <v>46087</v>
      </c>
      <c r="F23" s="1">
        <v>46087</v>
      </c>
      <c r="G23" t="s">
        <v>47</v>
      </c>
      <c r="H23" t="s">
        <v>27</v>
      </c>
      <c r="I23" t="s">
        <v>43</v>
      </c>
      <c r="J23">
        <v>-91</v>
      </c>
      <c r="K23">
        <v>-91</v>
      </c>
      <c r="L23">
        <v>0</v>
      </c>
      <c r="M23" t="s">
        <v>21</v>
      </c>
      <c r="N23" t="s">
        <v>29</v>
      </c>
      <c r="O23" t="s">
        <v>59</v>
      </c>
      <c r="P23" t="s">
        <v>31</v>
      </c>
      <c r="Q23" t="s">
        <v>23</v>
      </c>
      <c r="R23" t="s">
        <v>23</v>
      </c>
      <c r="S23" t="s">
        <v>25</v>
      </c>
      <c r="T23" t="str">
        <f>_xlfn.XLOOKUP(Tabela1[[#This Row],[Categoria]],CATEGORIAS!$C:$C,CATEGORIAS!$D:$D,"")</f>
        <v>2.4 Despesas Administrativas</v>
      </c>
    </row>
    <row r="24" spans="2:20" x14ac:dyDescent="0.25">
      <c r="B24" s="1">
        <v>46090</v>
      </c>
      <c r="C24" s="1">
        <v>46090</v>
      </c>
      <c r="D24" s="1">
        <v>46090</v>
      </c>
      <c r="E24" s="1">
        <v>46090</v>
      </c>
      <c r="F24" s="1">
        <v>46090</v>
      </c>
      <c r="G24" t="s">
        <v>242</v>
      </c>
      <c r="H24" t="s">
        <v>27</v>
      </c>
      <c r="I24" t="s">
        <v>145</v>
      </c>
      <c r="J24">
        <v>-1</v>
      </c>
      <c r="K24">
        <v>-1</v>
      </c>
      <c r="L24">
        <v>0</v>
      </c>
      <c r="M24" t="s">
        <v>238</v>
      </c>
      <c r="N24" t="s">
        <v>22</v>
      </c>
      <c r="O24" t="s">
        <v>243</v>
      </c>
      <c r="P24" t="s">
        <v>240</v>
      </c>
      <c r="Q24" t="s">
        <v>23</v>
      </c>
      <c r="R24" t="s">
        <v>244</v>
      </c>
      <c r="S24" t="s">
        <v>25</v>
      </c>
      <c r="T24" t="str">
        <f>_xlfn.XLOOKUP(Tabela1[[#This Row],[Categoria]],CATEGORIAS!$C:$C,CATEGORIAS!$D:$D,"")</f>
        <v>2.5 Despesas Financeiras / Bancos</v>
      </c>
    </row>
    <row r="25" spans="2:20" x14ac:dyDescent="0.25">
      <c r="B25" s="1">
        <v>46090</v>
      </c>
      <c r="C25" s="1">
        <v>46090</v>
      </c>
      <c r="D25" s="1">
        <v>46090</v>
      </c>
      <c r="E25" s="1">
        <v>46090</v>
      </c>
      <c r="F25" s="1">
        <v>46090</v>
      </c>
      <c r="G25" t="s">
        <v>237</v>
      </c>
      <c r="H25" t="s">
        <v>27</v>
      </c>
      <c r="I25" t="s">
        <v>145</v>
      </c>
      <c r="J25">
        <v>-0.8</v>
      </c>
      <c r="K25">
        <v>-0.8</v>
      </c>
      <c r="L25">
        <v>0</v>
      </c>
      <c r="M25" t="s">
        <v>238</v>
      </c>
      <c r="N25" t="s">
        <v>22</v>
      </c>
      <c r="O25" t="s">
        <v>245</v>
      </c>
      <c r="P25" t="s">
        <v>240</v>
      </c>
      <c r="Q25" t="s">
        <v>23</v>
      </c>
      <c r="R25" t="s">
        <v>246</v>
      </c>
      <c r="S25" t="s">
        <v>25</v>
      </c>
      <c r="T25" t="str">
        <f>_xlfn.XLOOKUP(Tabela1[[#This Row],[Categoria]],CATEGORIAS!$C:$C,CATEGORIAS!$D:$D,"")</f>
        <v>2.5 Despesas Financeiras / Bancos</v>
      </c>
    </row>
    <row r="26" spans="2:20" x14ac:dyDescent="0.25">
      <c r="B26" s="1">
        <v>46090</v>
      </c>
      <c r="C26" s="1">
        <v>46090</v>
      </c>
      <c r="D26" s="1">
        <v>46090</v>
      </c>
      <c r="E26" s="1">
        <v>46090</v>
      </c>
      <c r="F26" s="1">
        <v>46090</v>
      </c>
      <c r="G26" t="s">
        <v>232</v>
      </c>
      <c r="H26" t="s">
        <v>19</v>
      </c>
      <c r="I26" t="s">
        <v>20</v>
      </c>
      <c r="J26">
        <v>100</v>
      </c>
      <c r="K26">
        <v>100</v>
      </c>
      <c r="L26">
        <v>0</v>
      </c>
      <c r="M26" t="s">
        <v>238</v>
      </c>
      <c r="N26" t="s">
        <v>22</v>
      </c>
      <c r="O26" t="s">
        <v>247</v>
      </c>
      <c r="P26" t="s">
        <v>24</v>
      </c>
      <c r="Q26" t="s">
        <v>23</v>
      </c>
      <c r="R26" t="s">
        <v>248</v>
      </c>
      <c r="S26" t="s">
        <v>25</v>
      </c>
      <c r="T26" t="str">
        <f>_xlfn.XLOOKUP(Tabela1[[#This Row],[Categoria]],CATEGORIAS!$C:$C,CATEGORIAS!$D:$D,"")</f>
        <v>1.4 Outras Entradas</v>
      </c>
    </row>
    <row r="27" spans="2:20" x14ac:dyDescent="0.25">
      <c r="B27" s="1">
        <v>46090</v>
      </c>
      <c r="C27" s="1">
        <v>46090</v>
      </c>
      <c r="D27" s="1">
        <v>46090</v>
      </c>
      <c r="E27" s="1">
        <v>46090</v>
      </c>
      <c r="F27" s="1">
        <v>46090</v>
      </c>
      <c r="G27" t="s">
        <v>237</v>
      </c>
      <c r="H27" t="s">
        <v>27</v>
      </c>
      <c r="I27" t="s">
        <v>145</v>
      </c>
      <c r="J27">
        <v>-8.1999999999999993</v>
      </c>
      <c r="K27">
        <v>-8.1999999999999993</v>
      </c>
      <c r="L27">
        <v>0</v>
      </c>
      <c r="M27" t="s">
        <v>238</v>
      </c>
      <c r="N27" t="s">
        <v>22</v>
      </c>
      <c r="O27" t="s">
        <v>239</v>
      </c>
      <c r="P27" t="s">
        <v>240</v>
      </c>
      <c r="Q27" t="s">
        <v>23</v>
      </c>
      <c r="R27" t="s">
        <v>241</v>
      </c>
      <c r="S27" t="s">
        <v>25</v>
      </c>
      <c r="T27" t="str">
        <f>_xlfn.XLOOKUP(Tabela1[[#This Row],[Categoria]],CATEGORIAS!$C:$C,CATEGORIAS!$D:$D,"")</f>
        <v>2.5 Despesas Financeiras / Bancos</v>
      </c>
    </row>
    <row r="28" spans="2:20" x14ac:dyDescent="0.25">
      <c r="B28" s="1">
        <v>46090</v>
      </c>
      <c r="C28" s="1">
        <v>46090</v>
      </c>
      <c r="D28" s="1">
        <v>46090</v>
      </c>
      <c r="E28" s="1">
        <v>46090</v>
      </c>
      <c r="F28" s="1">
        <v>46090</v>
      </c>
      <c r="G28" t="s">
        <v>232</v>
      </c>
      <c r="H28" t="s">
        <v>27</v>
      </c>
      <c r="I28" t="s">
        <v>49</v>
      </c>
      <c r="J28">
        <v>-90</v>
      </c>
      <c r="K28">
        <v>-90</v>
      </c>
      <c r="L28">
        <v>0</v>
      </c>
      <c r="M28" t="s">
        <v>238</v>
      </c>
      <c r="N28" t="s">
        <v>22</v>
      </c>
      <c r="O28" t="s">
        <v>249</v>
      </c>
      <c r="P28" t="s">
        <v>31</v>
      </c>
      <c r="Q28" t="s">
        <v>23</v>
      </c>
      <c r="R28" t="s">
        <v>246</v>
      </c>
      <c r="S28" t="s">
        <v>25</v>
      </c>
      <c r="T28" t="str">
        <f>_xlfn.XLOOKUP(Tabela1[[#This Row],[Categoria]],CATEGORIAS!$C:$C,CATEGORIAS!$D:$D,"")</f>
        <v>2.5 Despesas Financeiras / Bancos</v>
      </c>
    </row>
    <row r="29" spans="2:20" x14ac:dyDescent="0.25">
      <c r="B29" s="1">
        <v>46091</v>
      </c>
      <c r="C29" s="1">
        <v>46091</v>
      </c>
      <c r="D29" s="1">
        <v>46091</v>
      </c>
      <c r="E29" s="1">
        <v>46091</v>
      </c>
      <c r="F29" s="1">
        <v>46091</v>
      </c>
      <c r="G29" t="s">
        <v>237</v>
      </c>
      <c r="H29" t="s">
        <v>27</v>
      </c>
      <c r="I29" t="s">
        <v>260</v>
      </c>
      <c r="J29">
        <v>-213000</v>
      </c>
      <c r="K29">
        <v>-213000</v>
      </c>
      <c r="L29">
        <v>0</v>
      </c>
      <c r="M29" t="s">
        <v>21</v>
      </c>
      <c r="N29" t="s">
        <v>23</v>
      </c>
      <c r="O29" t="s">
        <v>251</v>
      </c>
      <c r="P29" t="s">
        <v>261</v>
      </c>
      <c r="Q29" t="s">
        <v>23</v>
      </c>
      <c r="R29" t="s">
        <v>253</v>
      </c>
      <c r="S29" t="s">
        <v>25</v>
      </c>
      <c r="T29" t="str">
        <f>_xlfn.XLOOKUP(Tabela1[[#This Row],[Categoria]],CATEGORIAS!$C:$C,CATEGORIAS!$D:$D,"")</f>
        <v>99 Transferências</v>
      </c>
    </row>
    <row r="30" spans="2:20" x14ac:dyDescent="0.25">
      <c r="B30" s="1">
        <v>46091</v>
      </c>
      <c r="C30" s="1">
        <v>46091</v>
      </c>
      <c r="D30" s="1">
        <v>46091</v>
      </c>
      <c r="E30" s="1">
        <v>46091</v>
      </c>
      <c r="F30" s="1">
        <v>46091</v>
      </c>
      <c r="G30" t="s">
        <v>237</v>
      </c>
      <c r="H30" t="s">
        <v>27</v>
      </c>
      <c r="I30" t="s">
        <v>145</v>
      </c>
      <c r="J30">
        <v>-8.5</v>
      </c>
      <c r="K30">
        <v>-8.5</v>
      </c>
      <c r="L30">
        <v>0</v>
      </c>
      <c r="M30" t="s">
        <v>238</v>
      </c>
      <c r="N30" t="s">
        <v>22</v>
      </c>
      <c r="O30" t="s">
        <v>245</v>
      </c>
      <c r="P30" t="s">
        <v>240</v>
      </c>
      <c r="Q30" t="s">
        <v>23</v>
      </c>
      <c r="R30" t="s">
        <v>264</v>
      </c>
      <c r="S30" t="s">
        <v>25</v>
      </c>
      <c r="T30" t="str">
        <f>_xlfn.XLOOKUP(Tabela1[[#This Row],[Categoria]],CATEGORIAS!$C:$C,CATEGORIAS!$D:$D,"")</f>
        <v>2.5 Despesas Financeiras / Bancos</v>
      </c>
    </row>
    <row r="31" spans="2:20" x14ac:dyDescent="0.25">
      <c r="B31" s="1">
        <v>46091</v>
      </c>
      <c r="C31" s="1">
        <v>46091</v>
      </c>
      <c r="D31" s="1">
        <v>46091</v>
      </c>
      <c r="E31" s="1">
        <v>46091</v>
      </c>
      <c r="F31" s="1">
        <v>46091</v>
      </c>
      <c r="G31" t="s">
        <v>257</v>
      </c>
      <c r="H31" t="s">
        <v>27</v>
      </c>
      <c r="I31" t="s">
        <v>91</v>
      </c>
      <c r="J31">
        <v>-5000</v>
      </c>
      <c r="K31">
        <v>-5000</v>
      </c>
      <c r="L31">
        <v>0</v>
      </c>
      <c r="M31" t="s">
        <v>238</v>
      </c>
      <c r="N31" t="s">
        <v>208</v>
      </c>
      <c r="O31" t="s">
        <v>258</v>
      </c>
      <c r="P31" t="s">
        <v>31</v>
      </c>
      <c r="Q31" t="s">
        <v>23</v>
      </c>
      <c r="R31" t="s">
        <v>259</v>
      </c>
      <c r="S31" t="s">
        <v>25</v>
      </c>
      <c r="T31" t="str">
        <f>_xlfn.XLOOKUP(Tabela1[[#This Row],[Categoria]],CATEGORIAS!$C:$C,CATEGORIAS!$D:$D,"")</f>
        <v>2.1 Despesas Diretas</v>
      </c>
    </row>
    <row r="32" spans="2:20" x14ac:dyDescent="0.25">
      <c r="B32" s="1">
        <v>46091</v>
      </c>
      <c r="C32" s="1">
        <v>46091</v>
      </c>
      <c r="D32" s="1">
        <v>46091</v>
      </c>
      <c r="E32" s="1">
        <v>46091</v>
      </c>
      <c r="F32" s="1">
        <v>46091</v>
      </c>
      <c r="G32" t="s">
        <v>242</v>
      </c>
      <c r="H32" t="s">
        <v>19</v>
      </c>
      <c r="I32" t="s">
        <v>20</v>
      </c>
      <c r="J32">
        <v>100000</v>
      </c>
      <c r="K32">
        <v>100000</v>
      </c>
      <c r="L32">
        <v>0</v>
      </c>
      <c r="M32" t="s">
        <v>238</v>
      </c>
      <c r="N32" t="s">
        <v>22</v>
      </c>
      <c r="O32" t="s">
        <v>247</v>
      </c>
      <c r="P32" t="s">
        <v>24</v>
      </c>
      <c r="Q32" t="s">
        <v>23</v>
      </c>
      <c r="R32" t="s">
        <v>254</v>
      </c>
      <c r="S32" t="s">
        <v>25</v>
      </c>
      <c r="T32" t="str">
        <f>_xlfn.XLOOKUP(Tabela1[[#This Row],[Categoria]],CATEGORIAS!$C:$C,CATEGORIAS!$D:$D,"")</f>
        <v>1.4 Outras Entradas</v>
      </c>
    </row>
    <row r="33" spans="2:20" x14ac:dyDescent="0.25">
      <c r="B33" s="1">
        <v>46091</v>
      </c>
      <c r="C33" s="1">
        <v>46091</v>
      </c>
      <c r="D33" s="1">
        <v>46091</v>
      </c>
      <c r="E33" s="1">
        <v>46091</v>
      </c>
      <c r="F33" s="1">
        <v>46091</v>
      </c>
      <c r="G33" t="s">
        <v>237</v>
      </c>
      <c r="H33" t="s">
        <v>27</v>
      </c>
      <c r="I33" t="s">
        <v>145</v>
      </c>
      <c r="J33">
        <v>-60.8</v>
      </c>
      <c r="K33">
        <v>-60.8</v>
      </c>
      <c r="L33">
        <v>0</v>
      </c>
      <c r="M33" t="s">
        <v>238</v>
      </c>
      <c r="N33" t="s">
        <v>22</v>
      </c>
      <c r="O33" t="s">
        <v>239</v>
      </c>
      <c r="P33" t="s">
        <v>240</v>
      </c>
      <c r="Q33" t="s">
        <v>23</v>
      </c>
      <c r="R33" t="s">
        <v>241</v>
      </c>
      <c r="S33" t="s">
        <v>25</v>
      </c>
      <c r="T33" t="str">
        <f>_xlfn.XLOOKUP(Tabela1[[#This Row],[Categoria]],CATEGORIAS!$C:$C,CATEGORIAS!$D:$D,"")</f>
        <v>2.5 Despesas Financeiras / Bancos</v>
      </c>
    </row>
    <row r="34" spans="2:20" x14ac:dyDescent="0.25">
      <c r="B34" s="1">
        <v>46091</v>
      </c>
      <c r="C34" s="1">
        <v>46091</v>
      </c>
      <c r="D34" s="1">
        <v>46091</v>
      </c>
      <c r="E34" s="1">
        <v>46091</v>
      </c>
      <c r="F34" s="1">
        <v>46091</v>
      </c>
      <c r="G34" t="s">
        <v>237</v>
      </c>
      <c r="H34" t="s">
        <v>27</v>
      </c>
      <c r="I34" t="s">
        <v>145</v>
      </c>
      <c r="J34">
        <v>-8.5</v>
      </c>
      <c r="K34">
        <v>-8.5</v>
      </c>
      <c r="L34">
        <v>0</v>
      </c>
      <c r="M34" t="s">
        <v>238</v>
      </c>
      <c r="N34" t="s">
        <v>22</v>
      </c>
      <c r="O34" t="s">
        <v>245</v>
      </c>
      <c r="P34" t="s">
        <v>240</v>
      </c>
      <c r="Q34" t="s">
        <v>23</v>
      </c>
      <c r="R34" t="s">
        <v>259</v>
      </c>
      <c r="S34" t="s">
        <v>25</v>
      </c>
      <c r="T34" t="str">
        <f>_xlfn.XLOOKUP(Tabela1[[#This Row],[Categoria]],CATEGORIAS!$C:$C,CATEGORIAS!$D:$D,"")</f>
        <v>2.5 Despesas Financeiras / Bancos</v>
      </c>
    </row>
    <row r="35" spans="2:20" x14ac:dyDescent="0.25">
      <c r="B35" s="1">
        <v>46091</v>
      </c>
      <c r="C35" s="1">
        <v>46091</v>
      </c>
      <c r="D35" s="1">
        <v>46097</v>
      </c>
      <c r="E35" s="1">
        <v>46097</v>
      </c>
      <c r="F35" s="1">
        <v>46099</v>
      </c>
      <c r="G35" t="s">
        <v>232</v>
      </c>
      <c r="H35" t="s">
        <v>19</v>
      </c>
      <c r="I35" t="s">
        <v>255</v>
      </c>
      <c r="J35">
        <v>144000</v>
      </c>
      <c r="K35">
        <v>4166.99</v>
      </c>
      <c r="L35">
        <v>139833.01</v>
      </c>
      <c r="M35" t="s">
        <v>238</v>
      </c>
      <c r="N35" t="s">
        <v>22</v>
      </c>
      <c r="O35" t="s">
        <v>256</v>
      </c>
      <c r="P35" t="s">
        <v>24</v>
      </c>
      <c r="Q35" t="s">
        <v>23</v>
      </c>
      <c r="R35" t="s">
        <v>23</v>
      </c>
      <c r="S35" t="s">
        <v>25</v>
      </c>
      <c r="T35" t="str">
        <f>_xlfn.XLOOKUP(Tabela1[[#This Row],[Categoria]],CATEGORIAS!$C:$C,CATEGORIAS!$D:$D,"")</f>
        <v>99 Transferências</v>
      </c>
    </row>
    <row r="36" spans="2:20" x14ac:dyDescent="0.25">
      <c r="B36" s="1">
        <v>46091</v>
      </c>
      <c r="C36" s="1">
        <v>46091</v>
      </c>
      <c r="D36" s="1">
        <v>46091</v>
      </c>
      <c r="E36" s="1">
        <v>46091</v>
      </c>
      <c r="F36" s="1">
        <v>46091</v>
      </c>
      <c r="G36" t="s">
        <v>232</v>
      </c>
      <c r="H36" t="s">
        <v>27</v>
      </c>
      <c r="I36" t="s">
        <v>255</v>
      </c>
      <c r="J36">
        <v>-2595.6</v>
      </c>
      <c r="K36">
        <v>-2595.6</v>
      </c>
      <c r="L36">
        <v>0</v>
      </c>
      <c r="M36" t="s">
        <v>238</v>
      </c>
      <c r="N36" t="s">
        <v>22</v>
      </c>
      <c r="O36" t="s">
        <v>262</v>
      </c>
      <c r="P36" t="s">
        <v>31</v>
      </c>
      <c r="Q36" t="s">
        <v>23</v>
      </c>
      <c r="R36" t="s">
        <v>263</v>
      </c>
      <c r="S36" t="s">
        <v>25</v>
      </c>
      <c r="T36" t="str">
        <f>_xlfn.XLOOKUP(Tabela1[[#This Row],[Categoria]],CATEGORIAS!$C:$C,CATEGORIAS!$D:$D,"")</f>
        <v>99 Transferências</v>
      </c>
    </row>
    <row r="37" spans="2:20" x14ac:dyDescent="0.25">
      <c r="B37" s="1">
        <v>46091</v>
      </c>
      <c r="C37" s="1">
        <v>46091</v>
      </c>
      <c r="D37" s="1">
        <v>46091</v>
      </c>
      <c r="E37" s="1">
        <v>46091</v>
      </c>
      <c r="F37" s="1">
        <v>46091</v>
      </c>
      <c r="G37" t="s">
        <v>232</v>
      </c>
      <c r="H37" t="s">
        <v>27</v>
      </c>
      <c r="I37" t="s">
        <v>255</v>
      </c>
      <c r="J37">
        <v>-144000</v>
      </c>
      <c r="K37">
        <v>-144000</v>
      </c>
      <c r="L37">
        <v>0</v>
      </c>
      <c r="M37" t="s">
        <v>238</v>
      </c>
      <c r="N37" t="s">
        <v>22</v>
      </c>
      <c r="O37" t="s">
        <v>249</v>
      </c>
      <c r="P37" t="s">
        <v>31</v>
      </c>
      <c r="Q37" t="s">
        <v>23</v>
      </c>
      <c r="R37" t="s">
        <v>264</v>
      </c>
      <c r="S37" t="s">
        <v>25</v>
      </c>
      <c r="T37" t="str">
        <f>_xlfn.XLOOKUP(Tabela1[[#This Row],[Categoria]],CATEGORIAS!$C:$C,CATEGORIAS!$D:$D,"")</f>
        <v>99 Transferências</v>
      </c>
    </row>
    <row r="38" spans="2:20" x14ac:dyDescent="0.25">
      <c r="B38" s="1">
        <v>46091</v>
      </c>
      <c r="C38" s="1">
        <v>46091</v>
      </c>
      <c r="D38" s="1">
        <v>46091</v>
      </c>
      <c r="E38" s="1">
        <v>46091</v>
      </c>
      <c r="F38" s="1">
        <v>46091</v>
      </c>
      <c r="G38" t="s">
        <v>237</v>
      </c>
      <c r="H38" t="s">
        <v>19</v>
      </c>
      <c r="I38" t="s">
        <v>250</v>
      </c>
      <c r="J38">
        <v>213000</v>
      </c>
      <c r="K38">
        <v>213000</v>
      </c>
      <c r="L38">
        <v>0</v>
      </c>
      <c r="M38" t="s">
        <v>238</v>
      </c>
      <c r="N38" t="s">
        <v>23</v>
      </c>
      <c r="O38" t="s">
        <v>251</v>
      </c>
      <c r="P38" t="s">
        <v>252</v>
      </c>
      <c r="Q38" t="s">
        <v>23</v>
      </c>
      <c r="R38" t="s">
        <v>253</v>
      </c>
      <c r="S38" t="s">
        <v>25</v>
      </c>
      <c r="T38" t="str">
        <f>_xlfn.XLOOKUP(Tabela1[[#This Row],[Categoria]],CATEGORIAS!$C:$C,CATEGORIAS!$D:$D,"")</f>
        <v>99 Transferências</v>
      </c>
    </row>
    <row r="39" spans="2:20" x14ac:dyDescent="0.25">
      <c r="B39" s="1">
        <v>46092</v>
      </c>
      <c r="C39" s="1">
        <v>46092</v>
      </c>
      <c r="D39" s="1">
        <v>46092</v>
      </c>
      <c r="E39" s="1">
        <v>46092</v>
      </c>
      <c r="F39" s="1">
        <v>46092</v>
      </c>
      <c r="G39" t="s">
        <v>237</v>
      </c>
      <c r="H39" t="s">
        <v>27</v>
      </c>
      <c r="I39" t="s">
        <v>145</v>
      </c>
      <c r="J39">
        <v>-8.5</v>
      </c>
      <c r="K39">
        <v>-8.5</v>
      </c>
      <c r="L39">
        <v>0</v>
      </c>
      <c r="M39" t="s">
        <v>238</v>
      </c>
      <c r="N39" t="s">
        <v>22</v>
      </c>
      <c r="O39" t="s">
        <v>245</v>
      </c>
      <c r="P39" t="s">
        <v>240</v>
      </c>
      <c r="Q39" t="s">
        <v>23</v>
      </c>
      <c r="R39" t="s">
        <v>265</v>
      </c>
      <c r="S39" t="s">
        <v>25</v>
      </c>
      <c r="T39" t="str">
        <f>_xlfn.XLOOKUP(Tabela1[[#This Row],[Categoria]],CATEGORIAS!$C:$C,CATEGORIAS!$D:$D,"")</f>
        <v>2.5 Despesas Financeiras / Bancos</v>
      </c>
    </row>
    <row r="40" spans="2:20" x14ac:dyDescent="0.25">
      <c r="B40" s="1">
        <v>46092</v>
      </c>
      <c r="C40" s="1">
        <v>46092</v>
      </c>
      <c r="D40" s="1">
        <v>46092</v>
      </c>
      <c r="E40" s="1">
        <v>46092</v>
      </c>
      <c r="F40" s="1">
        <v>46092</v>
      </c>
      <c r="G40" t="s">
        <v>237</v>
      </c>
      <c r="H40" t="s">
        <v>27</v>
      </c>
      <c r="I40" t="s">
        <v>145</v>
      </c>
      <c r="J40">
        <v>-4.62</v>
      </c>
      <c r="K40">
        <v>-4.62</v>
      </c>
      <c r="L40">
        <v>0</v>
      </c>
      <c r="M40" t="s">
        <v>238</v>
      </c>
      <c r="N40" t="s">
        <v>22</v>
      </c>
      <c r="O40" t="s">
        <v>245</v>
      </c>
      <c r="P40" t="s">
        <v>240</v>
      </c>
      <c r="Q40" t="s">
        <v>23</v>
      </c>
      <c r="R40" t="s">
        <v>273</v>
      </c>
      <c r="S40" t="s">
        <v>25</v>
      </c>
      <c r="T40" t="str">
        <f>_xlfn.XLOOKUP(Tabela1[[#This Row],[Categoria]],CATEGORIAS!$C:$C,CATEGORIAS!$D:$D,"")</f>
        <v>2.5 Despesas Financeiras / Bancos</v>
      </c>
    </row>
    <row r="41" spans="2:20" x14ac:dyDescent="0.25">
      <c r="B41" s="1">
        <v>46092</v>
      </c>
      <c r="C41" s="1">
        <v>46092</v>
      </c>
      <c r="D41" s="1">
        <v>46092</v>
      </c>
      <c r="E41" s="1">
        <v>46092</v>
      </c>
      <c r="F41" s="1">
        <v>46092</v>
      </c>
      <c r="G41" t="s">
        <v>237</v>
      </c>
      <c r="H41" t="s">
        <v>27</v>
      </c>
      <c r="I41" t="s">
        <v>145</v>
      </c>
      <c r="J41">
        <v>-8.5</v>
      </c>
      <c r="K41">
        <v>-8.5</v>
      </c>
      <c r="L41">
        <v>0</v>
      </c>
      <c r="M41" t="s">
        <v>238</v>
      </c>
      <c r="N41" t="s">
        <v>22</v>
      </c>
      <c r="O41" t="s">
        <v>245</v>
      </c>
      <c r="P41" t="s">
        <v>240</v>
      </c>
      <c r="Q41" t="s">
        <v>23</v>
      </c>
      <c r="R41" t="s">
        <v>270</v>
      </c>
      <c r="S41" t="s">
        <v>25</v>
      </c>
      <c r="T41" t="str">
        <f>_xlfn.XLOOKUP(Tabela1[[#This Row],[Categoria]],CATEGORIAS!$C:$C,CATEGORIAS!$D:$D,"")</f>
        <v>2.5 Despesas Financeiras / Bancos</v>
      </c>
    </row>
    <row r="42" spans="2:20" x14ac:dyDescent="0.25">
      <c r="B42" s="1">
        <v>46092</v>
      </c>
      <c r="C42" s="1">
        <v>46092</v>
      </c>
      <c r="D42" s="1">
        <v>46092</v>
      </c>
      <c r="E42" s="1">
        <v>46092</v>
      </c>
      <c r="F42" s="1">
        <v>46092</v>
      </c>
      <c r="G42" t="s">
        <v>237</v>
      </c>
      <c r="H42" t="s">
        <v>27</v>
      </c>
      <c r="I42" t="s">
        <v>145</v>
      </c>
      <c r="J42">
        <v>-8.5</v>
      </c>
      <c r="K42">
        <v>-8.5</v>
      </c>
      <c r="L42">
        <v>0</v>
      </c>
      <c r="M42" t="s">
        <v>238</v>
      </c>
      <c r="N42" t="s">
        <v>22</v>
      </c>
      <c r="O42" t="s">
        <v>245</v>
      </c>
      <c r="P42" t="s">
        <v>240</v>
      </c>
      <c r="Q42" t="s">
        <v>23</v>
      </c>
      <c r="R42" t="s">
        <v>274</v>
      </c>
      <c r="S42" t="s">
        <v>25</v>
      </c>
      <c r="T42" t="str">
        <f>_xlfn.XLOOKUP(Tabela1[[#This Row],[Categoria]],CATEGORIAS!$C:$C,CATEGORIAS!$D:$D,"")</f>
        <v>2.5 Despesas Financeiras / Bancos</v>
      </c>
    </row>
    <row r="43" spans="2:20" x14ac:dyDescent="0.25">
      <c r="B43" s="1">
        <v>46092</v>
      </c>
      <c r="C43" s="1">
        <v>46092</v>
      </c>
      <c r="D43" s="1">
        <v>46092</v>
      </c>
      <c r="E43" s="1">
        <v>46092</v>
      </c>
      <c r="F43" s="1">
        <v>46092</v>
      </c>
      <c r="G43" t="s">
        <v>242</v>
      </c>
      <c r="H43" t="s">
        <v>19</v>
      </c>
      <c r="I43" t="s">
        <v>20</v>
      </c>
      <c r="J43">
        <v>80000</v>
      </c>
      <c r="K43">
        <v>80000</v>
      </c>
      <c r="L43">
        <v>0</v>
      </c>
      <c r="M43" t="s">
        <v>238</v>
      </c>
      <c r="N43" t="s">
        <v>22</v>
      </c>
      <c r="O43" t="s">
        <v>247</v>
      </c>
      <c r="P43" t="s">
        <v>24</v>
      </c>
      <c r="Q43" t="s">
        <v>23</v>
      </c>
      <c r="R43" t="s">
        <v>275</v>
      </c>
      <c r="S43" t="s">
        <v>25</v>
      </c>
      <c r="T43" t="str">
        <f>_xlfn.XLOOKUP(Tabela1[[#This Row],[Categoria]],CATEGORIAS!$C:$C,CATEGORIAS!$D:$D,"")</f>
        <v>1.4 Outras Entradas</v>
      </c>
    </row>
    <row r="44" spans="2:20" x14ac:dyDescent="0.25">
      <c r="B44" s="1">
        <v>46092</v>
      </c>
      <c r="C44" s="1">
        <v>46092</v>
      </c>
      <c r="D44" s="1">
        <v>46092</v>
      </c>
      <c r="E44" s="1">
        <v>46092</v>
      </c>
      <c r="F44" s="1">
        <v>46092</v>
      </c>
      <c r="G44" t="s">
        <v>277</v>
      </c>
      <c r="H44" t="s">
        <v>27</v>
      </c>
      <c r="I44" t="s">
        <v>142</v>
      </c>
      <c r="J44">
        <v>-2000</v>
      </c>
      <c r="K44">
        <v>-2000</v>
      </c>
      <c r="L44">
        <v>0</v>
      </c>
      <c r="M44" t="s">
        <v>238</v>
      </c>
      <c r="N44" t="s">
        <v>200</v>
      </c>
      <c r="O44" t="s">
        <v>278</v>
      </c>
      <c r="P44" t="s">
        <v>31</v>
      </c>
      <c r="Q44" t="s">
        <v>23</v>
      </c>
      <c r="R44" t="s">
        <v>274</v>
      </c>
      <c r="S44" t="s">
        <v>25</v>
      </c>
      <c r="T44" t="str">
        <f>_xlfn.XLOOKUP(Tabela1[[#This Row],[Categoria]],CATEGORIAS!$C:$C,CATEGORIAS!$D:$D,"")</f>
        <v>2.4 Despesas Administrativas</v>
      </c>
    </row>
    <row r="45" spans="2:20" x14ac:dyDescent="0.25">
      <c r="B45" s="1">
        <v>46092</v>
      </c>
      <c r="C45" s="1">
        <v>46092</v>
      </c>
      <c r="D45" s="1">
        <v>46092</v>
      </c>
      <c r="E45" s="1">
        <v>46092</v>
      </c>
      <c r="F45" s="1">
        <v>46092</v>
      </c>
      <c r="G45" t="s">
        <v>268</v>
      </c>
      <c r="H45" t="s">
        <v>19</v>
      </c>
      <c r="I45" t="s">
        <v>20</v>
      </c>
      <c r="J45">
        <v>100000</v>
      </c>
      <c r="K45">
        <v>100000</v>
      </c>
      <c r="L45">
        <v>0</v>
      </c>
      <c r="M45" t="s">
        <v>238</v>
      </c>
      <c r="N45" t="s">
        <v>22</v>
      </c>
      <c r="O45" t="s">
        <v>247</v>
      </c>
      <c r="P45" t="s">
        <v>24</v>
      </c>
      <c r="Q45" t="s">
        <v>23</v>
      </c>
      <c r="R45" t="s">
        <v>269</v>
      </c>
      <c r="S45" t="s">
        <v>25</v>
      </c>
      <c r="T45" t="str">
        <f>_xlfn.XLOOKUP(Tabela1[[#This Row],[Categoria]],CATEGORIAS!$C:$C,CATEGORIAS!$D:$D,"")</f>
        <v>1.4 Outras Entradas</v>
      </c>
    </row>
    <row r="46" spans="2:20" x14ac:dyDescent="0.25">
      <c r="B46" s="1">
        <v>46092</v>
      </c>
      <c r="C46" s="1">
        <v>46092</v>
      </c>
      <c r="D46" s="1">
        <v>46092</v>
      </c>
      <c r="E46" s="1">
        <v>46092</v>
      </c>
      <c r="F46" s="1">
        <v>46092</v>
      </c>
      <c r="G46" t="s">
        <v>271</v>
      </c>
      <c r="H46" t="s">
        <v>27</v>
      </c>
      <c r="I46" t="s">
        <v>45</v>
      </c>
      <c r="J46">
        <v>-520</v>
      </c>
      <c r="K46">
        <v>-520</v>
      </c>
      <c r="L46">
        <v>0</v>
      </c>
      <c r="M46" t="s">
        <v>238</v>
      </c>
      <c r="N46" t="s">
        <v>29</v>
      </c>
      <c r="O46" t="s">
        <v>272</v>
      </c>
      <c r="P46" t="s">
        <v>31</v>
      </c>
      <c r="Q46" t="s">
        <v>23</v>
      </c>
      <c r="R46" t="s">
        <v>273</v>
      </c>
      <c r="S46" t="s">
        <v>25</v>
      </c>
      <c r="T46" t="str">
        <f>_xlfn.XLOOKUP(Tabela1[[#This Row],[Categoria]],CATEGORIAS!$C:$C,CATEGORIAS!$D:$D,"")</f>
        <v>2.4 Despesas Administrativas</v>
      </c>
    </row>
    <row r="47" spans="2:20" x14ac:dyDescent="0.25">
      <c r="B47" s="1">
        <v>46092</v>
      </c>
      <c r="C47" s="1">
        <v>46092</v>
      </c>
      <c r="D47" s="1">
        <v>46092</v>
      </c>
      <c r="E47" s="1">
        <v>46092</v>
      </c>
      <c r="F47" s="1">
        <v>46092</v>
      </c>
      <c r="G47" t="s">
        <v>266</v>
      </c>
      <c r="H47" t="s">
        <v>27</v>
      </c>
      <c r="I47" t="s">
        <v>91</v>
      </c>
      <c r="J47">
        <v>-1600</v>
      </c>
      <c r="K47">
        <v>-1600</v>
      </c>
      <c r="L47">
        <v>0</v>
      </c>
      <c r="M47" t="s">
        <v>238</v>
      </c>
      <c r="N47" t="s">
        <v>208</v>
      </c>
      <c r="O47" t="s">
        <v>267</v>
      </c>
      <c r="P47" t="s">
        <v>31</v>
      </c>
      <c r="Q47" t="s">
        <v>23</v>
      </c>
      <c r="R47" t="s">
        <v>265</v>
      </c>
      <c r="S47" t="s">
        <v>25</v>
      </c>
      <c r="T47" t="str">
        <f>_xlfn.XLOOKUP(Tabela1[[#This Row],[Categoria]],CATEGORIAS!$C:$C,CATEGORIAS!$D:$D,"")</f>
        <v>2.1 Despesas Diretas</v>
      </c>
    </row>
    <row r="48" spans="2:20" x14ac:dyDescent="0.25">
      <c r="B48" s="1">
        <v>46092</v>
      </c>
      <c r="C48" s="1">
        <v>46092</v>
      </c>
      <c r="D48" s="1">
        <v>46092</v>
      </c>
      <c r="E48" s="1">
        <v>46092</v>
      </c>
      <c r="F48" s="1">
        <v>46092</v>
      </c>
      <c r="G48" t="s">
        <v>271</v>
      </c>
      <c r="H48" t="s">
        <v>27</v>
      </c>
      <c r="I48" t="s">
        <v>128</v>
      </c>
      <c r="J48">
        <v>-3000</v>
      </c>
      <c r="K48">
        <v>-3000</v>
      </c>
      <c r="L48">
        <v>0</v>
      </c>
      <c r="M48" t="s">
        <v>238</v>
      </c>
      <c r="N48" t="s">
        <v>192</v>
      </c>
      <c r="O48" t="s">
        <v>276</v>
      </c>
      <c r="P48" t="s">
        <v>31</v>
      </c>
      <c r="Q48" t="s">
        <v>23</v>
      </c>
      <c r="R48" t="s">
        <v>270</v>
      </c>
      <c r="S48" t="s">
        <v>25</v>
      </c>
      <c r="T48" t="str">
        <f>_xlfn.XLOOKUP(Tabela1[[#This Row],[Categoria]],CATEGORIAS!$C:$C,CATEGORIAS!$D:$D,"")</f>
        <v>2.4 Despesas Administrativas</v>
      </c>
    </row>
    <row r="49" spans="2:20" x14ac:dyDescent="0.25">
      <c r="B49" s="1">
        <v>46093</v>
      </c>
      <c r="C49" s="1">
        <v>46093</v>
      </c>
      <c r="D49" s="1">
        <v>46093</v>
      </c>
      <c r="E49" s="1">
        <v>46093</v>
      </c>
      <c r="F49" s="1">
        <v>46093</v>
      </c>
      <c r="G49" t="s">
        <v>237</v>
      </c>
      <c r="H49" t="s">
        <v>27</v>
      </c>
      <c r="I49" t="s">
        <v>145</v>
      </c>
      <c r="J49">
        <v>-8.5</v>
      </c>
      <c r="K49">
        <v>-8.5</v>
      </c>
      <c r="L49">
        <v>0</v>
      </c>
      <c r="M49" t="s">
        <v>238</v>
      </c>
      <c r="N49" t="s">
        <v>22</v>
      </c>
      <c r="O49" t="s">
        <v>245</v>
      </c>
      <c r="P49" t="s">
        <v>240</v>
      </c>
      <c r="Q49" t="s">
        <v>23</v>
      </c>
      <c r="R49" t="s">
        <v>281</v>
      </c>
      <c r="S49" t="s">
        <v>25</v>
      </c>
      <c r="T49" t="str">
        <f>_xlfn.XLOOKUP(Tabela1[[#This Row],[Categoria]],CATEGORIAS!$C:$C,CATEGORIAS!$D:$D,"")</f>
        <v>2.5 Despesas Financeiras / Bancos</v>
      </c>
    </row>
    <row r="50" spans="2:20" x14ac:dyDescent="0.25">
      <c r="B50" s="1">
        <v>46093</v>
      </c>
      <c r="C50" s="1">
        <v>46093</v>
      </c>
      <c r="D50" s="1">
        <v>46093</v>
      </c>
      <c r="E50" s="1">
        <v>46093</v>
      </c>
      <c r="F50" s="1">
        <v>46093</v>
      </c>
      <c r="G50" t="s">
        <v>237</v>
      </c>
      <c r="H50" t="s">
        <v>27</v>
      </c>
      <c r="I50" t="s">
        <v>145</v>
      </c>
      <c r="J50">
        <v>-8.5</v>
      </c>
      <c r="K50">
        <v>-8.5</v>
      </c>
      <c r="L50">
        <v>0</v>
      </c>
      <c r="M50" t="s">
        <v>238</v>
      </c>
      <c r="N50" t="s">
        <v>22</v>
      </c>
      <c r="O50" t="s">
        <v>245</v>
      </c>
      <c r="P50" t="s">
        <v>240</v>
      </c>
      <c r="Q50" t="s">
        <v>23</v>
      </c>
      <c r="R50" t="s">
        <v>280</v>
      </c>
      <c r="S50" t="s">
        <v>25</v>
      </c>
      <c r="T50" t="str">
        <f>_xlfn.XLOOKUP(Tabela1[[#This Row],[Categoria]],CATEGORIAS!$C:$C,CATEGORIAS!$D:$D,"")</f>
        <v>2.5 Despesas Financeiras / Bancos</v>
      </c>
    </row>
    <row r="51" spans="2:20" x14ac:dyDescent="0.25">
      <c r="B51" s="1">
        <v>46093</v>
      </c>
      <c r="C51" s="1">
        <v>46093</v>
      </c>
      <c r="D51" s="1">
        <v>46108</v>
      </c>
      <c r="E51" s="1">
        <v>46108</v>
      </c>
      <c r="F51" s="1">
        <v>46093</v>
      </c>
      <c r="G51" t="s">
        <v>279</v>
      </c>
      <c r="H51" t="s">
        <v>27</v>
      </c>
      <c r="I51" t="s">
        <v>142</v>
      </c>
      <c r="J51">
        <v>-3250</v>
      </c>
      <c r="K51">
        <v>-3250</v>
      </c>
      <c r="L51">
        <v>0</v>
      </c>
      <c r="M51" t="s">
        <v>238</v>
      </c>
      <c r="N51" t="s">
        <v>200</v>
      </c>
      <c r="O51" t="s">
        <v>226</v>
      </c>
      <c r="P51" t="s">
        <v>31</v>
      </c>
      <c r="Q51" t="s">
        <v>23</v>
      </c>
      <c r="R51" t="s">
        <v>220</v>
      </c>
      <c r="S51" t="s">
        <v>25</v>
      </c>
      <c r="T51" t="str">
        <f>_xlfn.XLOOKUP(Tabela1[[#This Row],[Categoria]],CATEGORIAS!$C:$C,CATEGORIAS!$D:$D,"")</f>
        <v>2.4 Despesas Administrativas</v>
      </c>
    </row>
    <row r="52" spans="2:20" x14ac:dyDescent="0.25">
      <c r="B52" s="1">
        <v>46093</v>
      </c>
      <c r="C52" s="1">
        <v>46093</v>
      </c>
      <c r="D52" s="1">
        <v>46108</v>
      </c>
      <c r="E52" s="1">
        <v>46108</v>
      </c>
      <c r="F52" s="1">
        <v>46093</v>
      </c>
      <c r="G52" t="s">
        <v>285</v>
      </c>
      <c r="H52" t="s">
        <v>27</v>
      </c>
      <c r="I52" t="s">
        <v>100</v>
      </c>
      <c r="J52">
        <v>-300000</v>
      </c>
      <c r="K52">
        <v>-300000</v>
      </c>
      <c r="L52">
        <v>0</v>
      </c>
      <c r="M52" t="s">
        <v>238</v>
      </c>
      <c r="N52" t="s">
        <v>195</v>
      </c>
      <c r="O52" t="s">
        <v>224</v>
      </c>
      <c r="P52" t="s">
        <v>31</v>
      </c>
      <c r="Q52" t="s">
        <v>23</v>
      </c>
      <c r="R52" t="s">
        <v>219</v>
      </c>
      <c r="S52" t="s">
        <v>25</v>
      </c>
      <c r="T52" t="str">
        <f>_xlfn.XLOOKUP(Tabela1[[#This Row],[Categoria]],CATEGORIAS!$C:$C,CATEGORIAS!$D:$D,"")</f>
        <v>2.1 Despesas Diretas</v>
      </c>
    </row>
    <row r="53" spans="2:20" x14ac:dyDescent="0.25">
      <c r="B53" s="1">
        <v>46093</v>
      </c>
      <c r="C53" s="1">
        <v>46093</v>
      </c>
      <c r="D53" s="1">
        <v>46093</v>
      </c>
      <c r="E53" s="1">
        <v>46093</v>
      </c>
      <c r="F53" s="1">
        <v>46093</v>
      </c>
      <c r="G53" t="s">
        <v>282</v>
      </c>
      <c r="H53" t="s">
        <v>27</v>
      </c>
      <c r="I53" t="s">
        <v>142</v>
      </c>
      <c r="J53">
        <v>-110.7</v>
      </c>
      <c r="K53">
        <v>-110.7</v>
      </c>
      <c r="L53">
        <v>0</v>
      </c>
      <c r="M53" t="s">
        <v>238</v>
      </c>
      <c r="N53" t="s">
        <v>200</v>
      </c>
      <c r="O53" t="s">
        <v>283</v>
      </c>
      <c r="P53" t="s">
        <v>31</v>
      </c>
      <c r="Q53" t="s">
        <v>23</v>
      </c>
      <c r="R53" t="s">
        <v>284</v>
      </c>
      <c r="S53" t="s">
        <v>25</v>
      </c>
      <c r="T53" t="str">
        <f>_xlfn.XLOOKUP(Tabela1[[#This Row],[Categoria]],CATEGORIAS!$C:$C,CATEGORIAS!$D:$D,"")</f>
        <v>2.4 Despesas Administrativas</v>
      </c>
    </row>
    <row r="54" spans="2:20" x14ac:dyDescent="0.25">
      <c r="B54" s="1">
        <v>46094</v>
      </c>
      <c r="C54" s="1">
        <v>46094</v>
      </c>
      <c r="D54" s="1">
        <v>46094</v>
      </c>
      <c r="E54" s="1">
        <v>46094</v>
      </c>
      <c r="F54" s="1">
        <v>46094</v>
      </c>
      <c r="G54" t="s">
        <v>242</v>
      </c>
      <c r="H54" t="s">
        <v>27</v>
      </c>
      <c r="I54" t="s">
        <v>145</v>
      </c>
      <c r="J54">
        <v>-1</v>
      </c>
      <c r="K54">
        <v>-1</v>
      </c>
      <c r="L54">
        <v>0</v>
      </c>
      <c r="M54" t="s">
        <v>238</v>
      </c>
      <c r="N54" t="s">
        <v>22</v>
      </c>
      <c r="O54" t="s">
        <v>243</v>
      </c>
      <c r="P54" t="s">
        <v>240</v>
      </c>
      <c r="Q54" t="s">
        <v>23</v>
      </c>
      <c r="R54" t="s">
        <v>290</v>
      </c>
      <c r="S54" t="s">
        <v>25</v>
      </c>
      <c r="T54" t="str">
        <f>_xlfn.XLOOKUP(Tabela1[[#This Row],[Categoria]],CATEGORIAS!$C:$C,CATEGORIAS!$D:$D,"")</f>
        <v>2.5 Despesas Financeiras / Bancos</v>
      </c>
    </row>
    <row r="55" spans="2:20" x14ac:dyDescent="0.25">
      <c r="B55" s="1">
        <v>46094</v>
      </c>
      <c r="C55" s="1">
        <v>46094</v>
      </c>
      <c r="D55" s="1">
        <v>46094</v>
      </c>
      <c r="E55" s="1">
        <v>46094</v>
      </c>
      <c r="F55" s="1">
        <v>46094</v>
      </c>
      <c r="G55" t="s">
        <v>237</v>
      </c>
      <c r="H55" t="s">
        <v>27</v>
      </c>
      <c r="I55" t="s">
        <v>145</v>
      </c>
      <c r="J55">
        <v>-1.29</v>
      </c>
      <c r="K55">
        <v>-1.29</v>
      </c>
      <c r="L55">
        <v>0</v>
      </c>
      <c r="M55" t="s">
        <v>238</v>
      </c>
      <c r="N55" t="s">
        <v>22</v>
      </c>
      <c r="O55" t="s">
        <v>245</v>
      </c>
      <c r="P55" t="s">
        <v>240</v>
      </c>
      <c r="Q55" t="s">
        <v>23</v>
      </c>
      <c r="R55" t="s">
        <v>293</v>
      </c>
      <c r="S55" t="s">
        <v>25</v>
      </c>
      <c r="T55" t="str">
        <f>_xlfn.XLOOKUP(Tabela1[[#This Row],[Categoria]],CATEGORIAS!$C:$C,CATEGORIAS!$D:$D,"")</f>
        <v>2.5 Despesas Financeiras / Bancos</v>
      </c>
    </row>
    <row r="56" spans="2:20" x14ac:dyDescent="0.25">
      <c r="B56" s="1">
        <v>46094</v>
      </c>
      <c r="C56" s="1">
        <v>46094</v>
      </c>
      <c r="D56" s="1">
        <v>46122</v>
      </c>
      <c r="E56" s="1">
        <v>46122</v>
      </c>
      <c r="F56" s="1">
        <v>46122</v>
      </c>
      <c r="G56" t="s">
        <v>26</v>
      </c>
      <c r="H56" t="s">
        <v>27</v>
      </c>
      <c r="I56" t="s">
        <v>142</v>
      </c>
      <c r="J56">
        <v>-15000</v>
      </c>
      <c r="K56">
        <v>-5000</v>
      </c>
      <c r="L56">
        <v>-10000</v>
      </c>
      <c r="M56" t="s">
        <v>238</v>
      </c>
      <c r="N56" t="s">
        <v>200</v>
      </c>
      <c r="O56" t="s">
        <v>229</v>
      </c>
      <c r="P56" t="s">
        <v>31</v>
      </c>
      <c r="Q56" t="s">
        <v>23</v>
      </c>
      <c r="R56" t="s">
        <v>23</v>
      </c>
      <c r="S56" t="s">
        <v>25</v>
      </c>
      <c r="T56" t="str">
        <f>_xlfn.XLOOKUP(Tabela1[[#This Row],[Categoria]],CATEGORIAS!$C:$C,CATEGORIAS!$D:$D,"")</f>
        <v>2.4 Despesas Administrativas</v>
      </c>
    </row>
    <row r="57" spans="2:20" x14ac:dyDescent="0.25">
      <c r="B57" s="1">
        <v>46094</v>
      </c>
      <c r="C57" s="1">
        <v>46094</v>
      </c>
      <c r="D57" s="1">
        <v>46097</v>
      </c>
      <c r="E57" s="1">
        <v>46097</v>
      </c>
      <c r="F57" s="1">
        <v>46094</v>
      </c>
      <c r="G57" t="s">
        <v>287</v>
      </c>
      <c r="H57" t="s">
        <v>27</v>
      </c>
      <c r="I57" t="s">
        <v>95</v>
      </c>
      <c r="J57">
        <v>-145.75</v>
      </c>
      <c r="K57">
        <v>-145.75</v>
      </c>
      <c r="L57">
        <v>0</v>
      </c>
      <c r="M57" t="s">
        <v>238</v>
      </c>
      <c r="N57" t="s">
        <v>208</v>
      </c>
      <c r="O57" t="s">
        <v>292</v>
      </c>
      <c r="P57" t="s">
        <v>31</v>
      </c>
      <c r="Q57" t="s">
        <v>23</v>
      </c>
      <c r="R57" t="s">
        <v>23</v>
      </c>
      <c r="S57" t="s">
        <v>25</v>
      </c>
      <c r="T57" t="str">
        <f>_xlfn.XLOOKUP(Tabela1[[#This Row],[Categoria]],CATEGORIAS!$C:$C,CATEGORIAS!$D:$D,"")</f>
        <v>2.1 Despesas Diretas</v>
      </c>
    </row>
    <row r="58" spans="2:20" x14ac:dyDescent="0.25">
      <c r="B58" s="1">
        <v>46094</v>
      </c>
      <c r="C58" s="1">
        <v>46094</v>
      </c>
      <c r="D58" s="1">
        <v>46094</v>
      </c>
      <c r="E58" s="1">
        <v>46094</v>
      </c>
      <c r="F58" s="1">
        <v>46094</v>
      </c>
      <c r="G58" t="s">
        <v>237</v>
      </c>
      <c r="H58" t="s">
        <v>27</v>
      </c>
      <c r="I58" t="s">
        <v>145</v>
      </c>
      <c r="J58">
        <v>-8.5</v>
      </c>
      <c r="K58">
        <v>-8.5</v>
      </c>
      <c r="L58">
        <v>0</v>
      </c>
      <c r="M58" t="s">
        <v>238</v>
      </c>
      <c r="N58" t="s">
        <v>22</v>
      </c>
      <c r="O58" t="s">
        <v>245</v>
      </c>
      <c r="P58" t="s">
        <v>240</v>
      </c>
      <c r="Q58" t="s">
        <v>23</v>
      </c>
      <c r="R58" t="s">
        <v>291</v>
      </c>
      <c r="S58" t="s">
        <v>25</v>
      </c>
      <c r="T58" t="str">
        <f>_xlfn.XLOOKUP(Tabela1[[#This Row],[Categoria]],CATEGORIAS!$C:$C,CATEGORIAS!$D:$D,"")</f>
        <v>2.5 Despesas Financeiras / Bancos</v>
      </c>
    </row>
    <row r="59" spans="2:20" x14ac:dyDescent="0.25">
      <c r="B59" s="1">
        <v>46094</v>
      </c>
      <c r="C59" s="1">
        <v>46094</v>
      </c>
      <c r="D59" s="1">
        <v>46094</v>
      </c>
      <c r="E59" s="1">
        <v>46094</v>
      </c>
      <c r="F59" s="1">
        <v>46094</v>
      </c>
      <c r="G59" t="s">
        <v>237</v>
      </c>
      <c r="H59" t="s">
        <v>27</v>
      </c>
      <c r="I59" t="s">
        <v>145</v>
      </c>
      <c r="J59">
        <v>-8.5</v>
      </c>
      <c r="K59">
        <v>-8.5</v>
      </c>
      <c r="L59">
        <v>0</v>
      </c>
      <c r="M59" t="s">
        <v>238</v>
      </c>
      <c r="N59" t="s">
        <v>22</v>
      </c>
      <c r="O59" t="s">
        <v>245</v>
      </c>
      <c r="P59" t="s">
        <v>240</v>
      </c>
      <c r="Q59" t="s">
        <v>23</v>
      </c>
      <c r="R59" t="s">
        <v>289</v>
      </c>
      <c r="S59" t="s">
        <v>25</v>
      </c>
      <c r="T59" t="str">
        <f>_xlfn.XLOOKUP(Tabela1[[#This Row],[Categoria]],CATEGORIAS!$C:$C,CATEGORIAS!$D:$D,"")</f>
        <v>2.5 Despesas Financeiras / Bancos</v>
      </c>
    </row>
    <row r="60" spans="2:20" x14ac:dyDescent="0.25">
      <c r="B60" s="1">
        <v>46094</v>
      </c>
      <c r="C60" s="1">
        <v>46094</v>
      </c>
      <c r="D60" s="1">
        <v>46094</v>
      </c>
      <c r="E60" s="1">
        <v>46094</v>
      </c>
      <c r="F60" s="1">
        <v>46094</v>
      </c>
      <c r="G60" t="s">
        <v>237</v>
      </c>
      <c r="H60" t="s">
        <v>27</v>
      </c>
      <c r="I60" t="s">
        <v>145</v>
      </c>
      <c r="J60">
        <v>-8.5</v>
      </c>
      <c r="K60">
        <v>-8.5</v>
      </c>
      <c r="L60">
        <v>0</v>
      </c>
      <c r="M60" t="s">
        <v>238</v>
      </c>
      <c r="N60" t="s">
        <v>22</v>
      </c>
      <c r="O60" t="s">
        <v>245</v>
      </c>
      <c r="P60" t="s">
        <v>240</v>
      </c>
      <c r="Q60" t="s">
        <v>23</v>
      </c>
      <c r="R60" t="s">
        <v>286</v>
      </c>
      <c r="S60" t="s">
        <v>25</v>
      </c>
      <c r="T60" t="str">
        <f>_xlfn.XLOOKUP(Tabela1[[#This Row],[Categoria]],CATEGORIAS!$C:$C,CATEGORIAS!$D:$D,"")</f>
        <v>2.5 Despesas Financeiras / Bancos</v>
      </c>
    </row>
    <row r="61" spans="2:20" x14ac:dyDescent="0.25">
      <c r="B61" s="1">
        <v>46094</v>
      </c>
      <c r="C61" s="1">
        <v>46094</v>
      </c>
      <c r="D61" s="1">
        <v>46094</v>
      </c>
      <c r="E61" s="1">
        <v>46094</v>
      </c>
      <c r="F61" s="1">
        <v>46094</v>
      </c>
      <c r="G61" t="s">
        <v>287</v>
      </c>
      <c r="H61" t="s">
        <v>27</v>
      </c>
      <c r="I61" t="s">
        <v>91</v>
      </c>
      <c r="J61">
        <v>-3676</v>
      </c>
      <c r="K61">
        <v>-3676</v>
      </c>
      <c r="L61">
        <v>0</v>
      </c>
      <c r="M61" t="s">
        <v>238</v>
      </c>
      <c r="N61" t="s">
        <v>208</v>
      </c>
      <c r="O61" t="s">
        <v>288</v>
      </c>
      <c r="P61" t="s">
        <v>31</v>
      </c>
      <c r="Q61" t="s">
        <v>23</v>
      </c>
      <c r="R61" t="s">
        <v>289</v>
      </c>
      <c r="S61" t="s">
        <v>25</v>
      </c>
      <c r="T61" t="str">
        <f>_xlfn.XLOOKUP(Tabela1[[#This Row],[Categoria]],CATEGORIAS!$C:$C,CATEGORIAS!$D:$D,"")</f>
        <v>2.1 Despesas Diretas</v>
      </c>
    </row>
    <row r="62" spans="2:20" x14ac:dyDescent="0.25">
      <c r="B62" s="1">
        <v>46094</v>
      </c>
      <c r="C62" s="1">
        <v>46094</v>
      </c>
      <c r="D62" s="1">
        <v>46094</v>
      </c>
      <c r="E62" s="1">
        <v>46094</v>
      </c>
      <c r="F62" s="1">
        <v>46094</v>
      </c>
      <c r="G62" t="s">
        <v>294</v>
      </c>
      <c r="H62" t="s">
        <v>27</v>
      </c>
      <c r="I62" t="s">
        <v>110</v>
      </c>
      <c r="J62">
        <v>-1700</v>
      </c>
      <c r="K62">
        <v>-1700</v>
      </c>
      <c r="L62">
        <v>0</v>
      </c>
      <c r="M62" t="s">
        <v>238</v>
      </c>
      <c r="N62" t="s">
        <v>200</v>
      </c>
      <c r="O62" t="s">
        <v>249</v>
      </c>
      <c r="P62" t="s">
        <v>31</v>
      </c>
      <c r="Q62" t="s">
        <v>23</v>
      </c>
      <c r="R62" t="s">
        <v>286</v>
      </c>
      <c r="S62" t="s">
        <v>25</v>
      </c>
      <c r="T62" t="str">
        <f>_xlfn.XLOOKUP(Tabela1[[#This Row],[Categoria]],CATEGORIAS!$C:$C,CATEGORIAS!$D:$D,"")</f>
        <v>2.1 Despesas Diretas</v>
      </c>
    </row>
    <row r="63" spans="2:20" x14ac:dyDescent="0.25">
      <c r="B63" s="1">
        <v>46097</v>
      </c>
      <c r="C63" s="1">
        <v>46097</v>
      </c>
      <c r="D63" s="1">
        <v>46097</v>
      </c>
      <c r="E63" s="1">
        <v>46097</v>
      </c>
      <c r="F63" s="1">
        <v>46097</v>
      </c>
      <c r="G63" t="s">
        <v>237</v>
      </c>
      <c r="H63" t="s">
        <v>27</v>
      </c>
      <c r="I63" t="s">
        <v>145</v>
      </c>
      <c r="J63">
        <v>-8.5</v>
      </c>
      <c r="K63">
        <v>-8.5</v>
      </c>
      <c r="L63">
        <v>0</v>
      </c>
      <c r="M63" t="s">
        <v>238</v>
      </c>
      <c r="N63" t="s">
        <v>22</v>
      </c>
      <c r="O63" t="s">
        <v>245</v>
      </c>
      <c r="P63" t="s">
        <v>240</v>
      </c>
      <c r="Q63" t="s">
        <v>23</v>
      </c>
      <c r="R63" t="s">
        <v>295</v>
      </c>
      <c r="S63" t="s">
        <v>25</v>
      </c>
      <c r="T63" t="str">
        <f>_xlfn.XLOOKUP(Tabela1[[#This Row],[Categoria]],CATEGORIAS!$C:$C,CATEGORIAS!$D:$D,"")</f>
        <v>2.5 Despesas Financeiras / Bancos</v>
      </c>
    </row>
    <row r="64" spans="2:20" x14ac:dyDescent="0.25">
      <c r="B64" s="1">
        <v>46097</v>
      </c>
      <c r="C64" s="1">
        <v>46097</v>
      </c>
      <c r="D64" s="1">
        <v>46097</v>
      </c>
      <c r="E64" s="1">
        <v>46097</v>
      </c>
      <c r="F64" s="1">
        <v>46097</v>
      </c>
      <c r="G64" t="s">
        <v>237</v>
      </c>
      <c r="H64" t="s">
        <v>27</v>
      </c>
      <c r="I64" t="s">
        <v>145</v>
      </c>
      <c r="J64">
        <v>-8.5</v>
      </c>
      <c r="K64">
        <v>-8.5</v>
      </c>
      <c r="L64">
        <v>0</v>
      </c>
      <c r="M64" t="s">
        <v>238</v>
      </c>
      <c r="N64" t="s">
        <v>22</v>
      </c>
      <c r="O64" t="s">
        <v>245</v>
      </c>
      <c r="P64" t="s">
        <v>240</v>
      </c>
      <c r="Q64" t="s">
        <v>23</v>
      </c>
      <c r="R64" t="s">
        <v>312</v>
      </c>
      <c r="S64" t="s">
        <v>25</v>
      </c>
      <c r="T64" t="str">
        <f>_xlfn.XLOOKUP(Tabela1[[#This Row],[Categoria]],CATEGORIAS!$C:$C,CATEGORIAS!$D:$D,"")</f>
        <v>2.5 Despesas Financeiras / Bancos</v>
      </c>
    </row>
    <row r="65" spans="2:20" x14ac:dyDescent="0.25">
      <c r="B65" s="1">
        <v>46097</v>
      </c>
      <c r="C65" s="1">
        <v>46097</v>
      </c>
      <c r="D65" s="1">
        <v>46093</v>
      </c>
      <c r="E65" s="1">
        <v>46093</v>
      </c>
      <c r="F65" s="1">
        <v>46097</v>
      </c>
      <c r="G65" t="s">
        <v>18</v>
      </c>
      <c r="H65" t="s">
        <v>19</v>
      </c>
      <c r="I65" t="s">
        <v>20</v>
      </c>
      <c r="J65">
        <v>20000</v>
      </c>
      <c r="K65">
        <v>20000</v>
      </c>
      <c r="L65">
        <v>0</v>
      </c>
      <c r="M65" t="s">
        <v>238</v>
      </c>
      <c r="N65" t="s">
        <v>192</v>
      </c>
      <c r="O65" t="s">
        <v>23</v>
      </c>
      <c r="P65" t="s">
        <v>24</v>
      </c>
      <c r="Q65" t="s">
        <v>23</v>
      </c>
      <c r="R65" t="s">
        <v>23</v>
      </c>
      <c r="S65" t="s">
        <v>25</v>
      </c>
      <c r="T65" t="str">
        <f>_xlfn.XLOOKUP(Tabela1[[#This Row],[Categoria]],CATEGORIAS!$C:$C,CATEGORIAS!$D:$D,"")</f>
        <v>1.4 Outras Entradas</v>
      </c>
    </row>
    <row r="66" spans="2:20" x14ac:dyDescent="0.25">
      <c r="B66" s="1">
        <v>46097</v>
      </c>
      <c r="C66" s="1">
        <v>46097</v>
      </c>
      <c r="D66" s="1">
        <v>46097</v>
      </c>
      <c r="E66" s="1">
        <v>46097</v>
      </c>
      <c r="F66" s="1">
        <v>46097</v>
      </c>
      <c r="G66" t="s">
        <v>18</v>
      </c>
      <c r="H66" t="s">
        <v>19</v>
      </c>
      <c r="I66" t="s">
        <v>20</v>
      </c>
      <c r="J66">
        <v>1001.676335</v>
      </c>
      <c r="K66">
        <v>1000</v>
      </c>
      <c r="L66">
        <v>1.6763349999999999</v>
      </c>
      <c r="M66" t="s">
        <v>238</v>
      </c>
      <c r="N66" t="s">
        <v>22</v>
      </c>
      <c r="O66" t="s">
        <v>23</v>
      </c>
      <c r="P66" t="s">
        <v>24</v>
      </c>
      <c r="Q66" t="s">
        <v>23</v>
      </c>
      <c r="R66" t="s">
        <v>23</v>
      </c>
      <c r="S66" t="s">
        <v>25</v>
      </c>
      <c r="T66" t="str">
        <f>_xlfn.XLOOKUP(Tabela1[[#This Row],[Categoria]],CATEGORIAS!$C:$C,CATEGORIAS!$D:$D,"")</f>
        <v>1.4 Outras Entradas</v>
      </c>
    </row>
    <row r="67" spans="2:20" x14ac:dyDescent="0.25">
      <c r="B67" s="1">
        <v>46097</v>
      </c>
      <c r="C67" s="1">
        <v>46097</v>
      </c>
      <c r="D67" s="1">
        <v>46108</v>
      </c>
      <c r="E67" s="1">
        <v>46108</v>
      </c>
      <c r="F67" s="1">
        <v>46097</v>
      </c>
      <c r="G67" t="s">
        <v>184</v>
      </c>
      <c r="H67" t="s">
        <v>27</v>
      </c>
      <c r="I67" t="s">
        <v>142</v>
      </c>
      <c r="J67">
        <v>-64000</v>
      </c>
      <c r="K67">
        <v>-64000</v>
      </c>
      <c r="L67">
        <v>0</v>
      </c>
      <c r="M67" t="s">
        <v>238</v>
      </c>
      <c r="N67" t="s">
        <v>215</v>
      </c>
      <c r="O67" t="s">
        <v>311</v>
      </c>
      <c r="P67" t="s">
        <v>31</v>
      </c>
      <c r="Q67" t="s">
        <v>23</v>
      </c>
      <c r="R67" t="s">
        <v>227</v>
      </c>
      <c r="S67" t="s">
        <v>25</v>
      </c>
      <c r="T67" t="str">
        <f>_xlfn.XLOOKUP(Tabela1[[#This Row],[Categoria]],CATEGORIAS!$C:$C,CATEGORIAS!$D:$D,"")</f>
        <v>2.4 Despesas Administrativas</v>
      </c>
    </row>
    <row r="68" spans="2:20" x14ac:dyDescent="0.25">
      <c r="B68" s="1">
        <v>46097</v>
      </c>
      <c r="C68" s="1">
        <v>46097</v>
      </c>
      <c r="D68" s="1">
        <v>46097</v>
      </c>
      <c r="E68" s="1">
        <v>46097</v>
      </c>
      <c r="F68" s="1">
        <v>46097</v>
      </c>
      <c r="G68" t="s">
        <v>18</v>
      </c>
      <c r="H68" t="s">
        <v>19</v>
      </c>
      <c r="I68" t="s">
        <v>20</v>
      </c>
      <c r="J68">
        <v>141765</v>
      </c>
      <c r="K68">
        <v>141765</v>
      </c>
      <c r="L68">
        <v>0</v>
      </c>
      <c r="M68" t="s">
        <v>238</v>
      </c>
      <c r="N68" t="s">
        <v>22</v>
      </c>
      <c r="O68" t="s">
        <v>299</v>
      </c>
      <c r="P68" t="s">
        <v>24</v>
      </c>
      <c r="Q68" t="s">
        <v>23</v>
      </c>
      <c r="R68" t="s">
        <v>23</v>
      </c>
      <c r="S68" t="s">
        <v>25</v>
      </c>
      <c r="T68" t="str">
        <f>_xlfn.XLOOKUP(Tabela1[[#This Row],[Categoria]],CATEGORIAS!$C:$C,CATEGORIAS!$D:$D,"")</f>
        <v>1.4 Outras Entradas</v>
      </c>
    </row>
    <row r="69" spans="2:20" x14ac:dyDescent="0.25">
      <c r="B69" s="1">
        <v>46097</v>
      </c>
      <c r="C69" s="1">
        <v>46097</v>
      </c>
      <c r="D69" s="1">
        <v>46097</v>
      </c>
      <c r="E69" s="1">
        <v>46097</v>
      </c>
      <c r="F69" s="1">
        <v>46097</v>
      </c>
      <c r="G69" t="s">
        <v>232</v>
      </c>
      <c r="H69" t="s">
        <v>27</v>
      </c>
      <c r="I69" t="s">
        <v>255</v>
      </c>
      <c r="J69">
        <v>-21331.5</v>
      </c>
      <c r="K69">
        <v>-21331.5</v>
      </c>
      <c r="L69">
        <v>0</v>
      </c>
      <c r="M69" t="s">
        <v>238</v>
      </c>
      <c r="N69" t="s">
        <v>22</v>
      </c>
      <c r="O69" t="s">
        <v>308</v>
      </c>
      <c r="P69" t="s">
        <v>31</v>
      </c>
      <c r="Q69" t="s">
        <v>23</v>
      </c>
      <c r="R69" t="s">
        <v>309</v>
      </c>
      <c r="S69" t="s">
        <v>25</v>
      </c>
      <c r="T69" t="str">
        <f>_xlfn.XLOOKUP(Tabela1[[#This Row],[Categoria]],CATEGORIAS!$C:$C,CATEGORIAS!$D:$D,"")</f>
        <v>99 Transferências</v>
      </c>
    </row>
    <row r="70" spans="2:20" x14ac:dyDescent="0.25">
      <c r="B70" s="1">
        <v>46097</v>
      </c>
      <c r="C70" s="1">
        <v>46097</v>
      </c>
      <c r="D70" s="1">
        <v>46097</v>
      </c>
      <c r="E70" s="1">
        <v>46097</v>
      </c>
      <c r="F70" s="1">
        <v>46097</v>
      </c>
      <c r="G70" t="s">
        <v>287</v>
      </c>
      <c r="H70" t="s">
        <v>27</v>
      </c>
      <c r="I70" t="s">
        <v>99</v>
      </c>
      <c r="J70">
        <v>-4280</v>
      </c>
      <c r="K70">
        <v>-4280</v>
      </c>
      <c r="L70">
        <v>0</v>
      </c>
      <c r="M70" t="s">
        <v>238</v>
      </c>
      <c r="N70" t="s">
        <v>208</v>
      </c>
      <c r="O70" t="s">
        <v>296</v>
      </c>
      <c r="P70" t="s">
        <v>31</v>
      </c>
      <c r="Q70" t="s">
        <v>23</v>
      </c>
      <c r="R70" t="s">
        <v>295</v>
      </c>
      <c r="S70" t="s">
        <v>25</v>
      </c>
      <c r="T70" t="str">
        <f>_xlfn.XLOOKUP(Tabela1[[#This Row],[Categoria]],CATEGORIAS!$C:$C,CATEGORIAS!$D:$D,"")</f>
        <v>2.1 Despesas Diretas</v>
      </c>
    </row>
    <row r="71" spans="2:20" x14ac:dyDescent="0.25">
      <c r="B71" s="1">
        <v>46097</v>
      </c>
      <c r="C71" s="1">
        <v>46097</v>
      </c>
      <c r="D71" s="1">
        <v>46097</v>
      </c>
      <c r="E71" s="1">
        <v>46097</v>
      </c>
      <c r="F71" s="1">
        <v>46097</v>
      </c>
      <c r="G71" t="s">
        <v>232</v>
      </c>
      <c r="H71" t="s">
        <v>19</v>
      </c>
      <c r="I71" t="s">
        <v>255</v>
      </c>
      <c r="J71">
        <v>21331.5</v>
      </c>
      <c r="K71">
        <v>21331.5</v>
      </c>
      <c r="L71">
        <v>0</v>
      </c>
      <c r="M71" t="s">
        <v>238</v>
      </c>
      <c r="N71" t="s">
        <v>22</v>
      </c>
      <c r="O71" t="s">
        <v>247</v>
      </c>
      <c r="P71" t="s">
        <v>24</v>
      </c>
      <c r="Q71" t="s">
        <v>23</v>
      </c>
      <c r="R71" t="s">
        <v>310</v>
      </c>
      <c r="S71" t="s">
        <v>25</v>
      </c>
      <c r="T71" t="str">
        <f>_xlfn.XLOOKUP(Tabela1[[#This Row],[Categoria]],CATEGORIAS!$C:$C,CATEGORIAS!$D:$D,"")</f>
        <v>99 Transferências</v>
      </c>
    </row>
    <row r="72" spans="2:20" x14ac:dyDescent="0.25">
      <c r="B72" s="1">
        <v>46098</v>
      </c>
      <c r="C72" s="1">
        <v>46098</v>
      </c>
      <c r="D72" s="1">
        <v>46098</v>
      </c>
      <c r="E72" s="1">
        <v>46098</v>
      </c>
      <c r="F72" s="1">
        <v>46098</v>
      </c>
      <c r="G72" t="s">
        <v>237</v>
      </c>
      <c r="H72" t="s">
        <v>27</v>
      </c>
      <c r="I72" t="s">
        <v>145</v>
      </c>
      <c r="J72">
        <v>-8.5</v>
      </c>
      <c r="K72">
        <v>-8.5</v>
      </c>
      <c r="L72">
        <v>0</v>
      </c>
      <c r="M72" t="s">
        <v>238</v>
      </c>
      <c r="N72" t="s">
        <v>22</v>
      </c>
      <c r="O72" t="s">
        <v>245</v>
      </c>
      <c r="P72" t="s">
        <v>240</v>
      </c>
      <c r="Q72" t="s">
        <v>23</v>
      </c>
      <c r="R72" t="s">
        <v>314</v>
      </c>
      <c r="S72" t="s">
        <v>25</v>
      </c>
      <c r="T72" t="str">
        <f>_xlfn.XLOOKUP(Tabela1[[#This Row],[Categoria]],CATEGORIAS!$C:$C,CATEGORIAS!$D:$D,"")</f>
        <v>2.5 Despesas Financeiras / Bancos</v>
      </c>
    </row>
    <row r="73" spans="2:20" x14ac:dyDescent="0.25">
      <c r="B73" s="1">
        <v>46098</v>
      </c>
      <c r="C73" s="1">
        <v>46098</v>
      </c>
      <c r="D73" s="1">
        <v>46098</v>
      </c>
      <c r="E73" s="1">
        <v>46098</v>
      </c>
      <c r="F73" s="1">
        <v>46098</v>
      </c>
      <c r="G73" t="s">
        <v>237</v>
      </c>
      <c r="H73" t="s">
        <v>27</v>
      </c>
      <c r="I73" t="s">
        <v>145</v>
      </c>
      <c r="J73">
        <v>-8.5</v>
      </c>
      <c r="K73">
        <v>-8.5</v>
      </c>
      <c r="L73">
        <v>0</v>
      </c>
      <c r="M73" t="s">
        <v>238</v>
      </c>
      <c r="N73" t="s">
        <v>22</v>
      </c>
      <c r="O73" t="s">
        <v>245</v>
      </c>
      <c r="P73" t="s">
        <v>240</v>
      </c>
      <c r="Q73" t="s">
        <v>23</v>
      </c>
      <c r="R73" t="s">
        <v>315</v>
      </c>
      <c r="S73" t="s">
        <v>25</v>
      </c>
      <c r="T73" t="str">
        <f>_xlfn.XLOOKUP(Tabela1[[#This Row],[Categoria]],CATEGORIAS!$C:$C,CATEGORIAS!$D:$D,"")</f>
        <v>2.5 Despesas Financeiras / Bancos</v>
      </c>
    </row>
    <row r="74" spans="2:20" x14ac:dyDescent="0.25">
      <c r="B74" s="1">
        <v>46098</v>
      </c>
      <c r="C74" s="1">
        <v>46098</v>
      </c>
      <c r="D74" s="1">
        <v>46108</v>
      </c>
      <c r="E74" s="1">
        <v>46108</v>
      </c>
      <c r="F74" s="1">
        <v>46098</v>
      </c>
      <c r="G74" t="s">
        <v>287</v>
      </c>
      <c r="H74" t="s">
        <v>27</v>
      </c>
      <c r="I74" t="s">
        <v>93</v>
      </c>
      <c r="J74">
        <v>-10000</v>
      </c>
      <c r="K74">
        <v>-10000</v>
      </c>
      <c r="L74">
        <v>0</v>
      </c>
      <c r="M74" t="s">
        <v>238</v>
      </c>
      <c r="N74" t="s">
        <v>208</v>
      </c>
      <c r="O74" t="s">
        <v>316</v>
      </c>
      <c r="P74" t="s">
        <v>31</v>
      </c>
      <c r="Q74" t="s">
        <v>23</v>
      </c>
      <c r="R74" t="s">
        <v>217</v>
      </c>
      <c r="S74" t="s">
        <v>25</v>
      </c>
      <c r="T74" t="str">
        <f>_xlfn.XLOOKUP(Tabela1[[#This Row],[Categoria]],CATEGORIAS!$C:$C,CATEGORIAS!$D:$D,"")</f>
        <v>2.1 Despesas Diretas</v>
      </c>
    </row>
    <row r="75" spans="2:20" x14ac:dyDescent="0.25">
      <c r="B75" s="1">
        <v>46098</v>
      </c>
      <c r="C75" s="1">
        <v>46098</v>
      </c>
      <c r="D75" s="1">
        <v>46098</v>
      </c>
      <c r="E75" s="1">
        <v>46098</v>
      </c>
      <c r="F75" s="1">
        <v>46098</v>
      </c>
      <c r="G75" t="s">
        <v>257</v>
      </c>
      <c r="H75" t="s">
        <v>27</v>
      </c>
      <c r="I75" t="s">
        <v>91</v>
      </c>
      <c r="J75">
        <v>-2000</v>
      </c>
      <c r="K75">
        <v>-2000</v>
      </c>
      <c r="L75">
        <v>0</v>
      </c>
      <c r="M75" t="s">
        <v>238</v>
      </c>
      <c r="N75" t="s">
        <v>208</v>
      </c>
      <c r="O75" t="s">
        <v>313</v>
      </c>
      <c r="P75" t="s">
        <v>31</v>
      </c>
      <c r="Q75" t="s">
        <v>23</v>
      </c>
      <c r="R75" t="s">
        <v>314</v>
      </c>
      <c r="S75" t="s">
        <v>25</v>
      </c>
      <c r="T75" t="str">
        <f>_xlfn.XLOOKUP(Tabela1[[#This Row],[Categoria]],CATEGORIAS!$C:$C,CATEGORIAS!$D:$D,"")</f>
        <v>2.1 Despesas Diretas</v>
      </c>
    </row>
    <row r="76" spans="2:20" x14ac:dyDescent="0.25">
      <c r="B76" s="1">
        <v>46099</v>
      </c>
      <c r="C76" s="1">
        <v>46099</v>
      </c>
      <c r="D76" s="1">
        <v>46099</v>
      </c>
      <c r="E76" s="1">
        <v>46099</v>
      </c>
      <c r="F76" s="1">
        <v>46099</v>
      </c>
      <c r="G76" t="s">
        <v>237</v>
      </c>
      <c r="H76" t="s">
        <v>27</v>
      </c>
      <c r="I76" t="s">
        <v>145</v>
      </c>
      <c r="J76">
        <v>-8.5</v>
      </c>
      <c r="K76">
        <v>-8.5</v>
      </c>
      <c r="L76">
        <v>0</v>
      </c>
      <c r="M76" t="s">
        <v>238</v>
      </c>
      <c r="N76" t="s">
        <v>22</v>
      </c>
      <c r="O76" t="s">
        <v>245</v>
      </c>
      <c r="P76" t="s">
        <v>240</v>
      </c>
      <c r="Q76" t="s">
        <v>23</v>
      </c>
      <c r="R76" t="s">
        <v>343</v>
      </c>
      <c r="S76" t="s">
        <v>25</v>
      </c>
      <c r="T76" t="str">
        <f>_xlfn.XLOOKUP(Tabela1[[#This Row],[Categoria]],CATEGORIAS!$C:$C,CATEGORIAS!$D:$D,"")</f>
        <v>2.5 Despesas Financeiras / Bancos</v>
      </c>
    </row>
    <row r="77" spans="2:20" x14ac:dyDescent="0.25">
      <c r="B77" s="1">
        <v>46099</v>
      </c>
      <c r="C77" s="1">
        <v>46099</v>
      </c>
      <c r="D77" s="1">
        <v>46099</v>
      </c>
      <c r="E77" s="1">
        <v>46099</v>
      </c>
      <c r="F77" s="1">
        <v>46099</v>
      </c>
      <c r="G77" t="s">
        <v>47</v>
      </c>
      <c r="H77" t="s">
        <v>27</v>
      </c>
      <c r="I77" t="s">
        <v>91</v>
      </c>
      <c r="J77">
        <v>-1602</v>
      </c>
      <c r="K77">
        <v>-1602</v>
      </c>
      <c r="L77">
        <v>0</v>
      </c>
      <c r="M77" t="s">
        <v>238</v>
      </c>
      <c r="N77" t="s">
        <v>208</v>
      </c>
      <c r="O77" t="s">
        <v>344</v>
      </c>
      <c r="P77" t="s">
        <v>31</v>
      </c>
      <c r="Q77" t="s">
        <v>23</v>
      </c>
      <c r="R77" t="s">
        <v>343</v>
      </c>
      <c r="S77" t="s">
        <v>25</v>
      </c>
      <c r="T77" t="str">
        <f>_xlfn.XLOOKUP(Tabela1[[#This Row],[Categoria]],CATEGORIAS!$C:$C,CATEGORIAS!$D:$D,"")</f>
        <v>2.1 Despesas Diretas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04BA-83B8-4BBC-8923-813BF3128627}">
  <dimension ref="B5:R57"/>
  <sheetViews>
    <sheetView showGridLines="0" workbookViewId="0">
      <selection activeCell="H15" sqref="H15"/>
    </sheetView>
  </sheetViews>
  <sheetFormatPr defaultRowHeight="15" x14ac:dyDescent="0.25"/>
  <cols>
    <col min="2" max="2" width="11.85546875" bestFit="1" customWidth="1"/>
    <col min="3" max="3" width="44.140625" bestFit="1" customWidth="1"/>
    <col min="4" max="4" width="19.5703125" bestFit="1" customWidth="1"/>
    <col min="5" max="6" width="12.28515625" bestFit="1" customWidth="1"/>
    <col min="7" max="8" width="11.28515625" bestFit="1" customWidth="1"/>
    <col min="9" max="10" width="10.7109375" bestFit="1" customWidth="1"/>
    <col min="11" max="11" width="13.42578125" bestFit="1" customWidth="1"/>
    <col min="12" max="12" width="12.5703125" bestFit="1" customWidth="1"/>
    <col min="13" max="13" width="13.42578125" bestFit="1" customWidth="1"/>
    <col min="14" max="14" width="12.28515625" bestFit="1" customWidth="1"/>
    <col min="15" max="15" width="12.5703125" bestFit="1" customWidth="1"/>
    <col min="16" max="16" width="12.28515625" bestFit="1" customWidth="1"/>
    <col min="17" max="17" width="11.28515625" bestFit="1" customWidth="1"/>
    <col min="18" max="18" width="13.42578125" bestFit="1" customWidth="1"/>
  </cols>
  <sheetData>
    <row r="5" spans="2:18" ht="19.5" x14ac:dyDescent="0.55000000000000004">
      <c r="B5" s="9">
        <f>D5</f>
        <v>0</v>
      </c>
      <c r="C5" s="10" t="s">
        <v>179</v>
      </c>
      <c r="D5" s="11">
        <v>0</v>
      </c>
      <c r="E5" s="11">
        <f>D8</f>
        <v>200000</v>
      </c>
      <c r="F5" s="11">
        <f t="shared" ref="F5:H5" si="0">E8</f>
        <v>220859.2</v>
      </c>
      <c r="G5" s="11">
        <f t="shared" si="0"/>
        <v>218934.31</v>
      </c>
      <c r="H5" s="11">
        <f t="shared" si="0"/>
        <v>214436.91999999998</v>
      </c>
      <c r="I5" s="11">
        <f t="shared" ref="I5" si="1">H8</f>
        <v>212800.16999999998</v>
      </c>
      <c r="J5" s="11">
        <f t="shared" ref="J5" si="2">I8</f>
        <v>212999.99999999997</v>
      </c>
      <c r="K5" s="11">
        <f t="shared" ref="K5" si="3">J8</f>
        <v>212999.99999999997</v>
      </c>
      <c r="L5" s="11">
        <f t="shared" ref="L5" si="4">K8</f>
        <v>165493.58999999997</v>
      </c>
      <c r="M5" s="11">
        <f t="shared" ref="M5" si="5">L8</f>
        <v>338343.47</v>
      </c>
      <c r="N5" s="11">
        <f t="shared" ref="N5" si="6">M8</f>
        <v>34965.76999999996</v>
      </c>
      <c r="O5" s="11">
        <f t="shared" ref="O5:Q5" si="7">N8</f>
        <v>24416.22999999996</v>
      </c>
      <c r="P5" s="11">
        <f t="shared" si="7"/>
        <v>118884.22999999995</v>
      </c>
      <c r="Q5" s="11">
        <f t="shared" si="7"/>
        <v>106867.22999999995</v>
      </c>
    </row>
    <row r="6" spans="2:18" ht="19.5" x14ac:dyDescent="0.55000000000000004">
      <c r="B6" s="12">
        <f>SUM(D6:X6)</f>
        <v>928534.87</v>
      </c>
      <c r="C6" s="13" t="s">
        <v>180</v>
      </c>
      <c r="D6" s="13">
        <f>GETPIVOTDATA("Pago ou Recebido",$C$11,"Data de Crédito ou Pagto (completa)",D12,"Tipo","1. Contas a Receber")</f>
        <v>200000</v>
      </c>
      <c r="E6" s="13">
        <f t="shared" ref="E6:H6" si="8">GETPIVOTDATA("Pago ou Recebido",$C$11,"Data de Crédito ou Pagto (completa)",E12,"Tipo","1. Contas a Receber")</f>
        <v>31000</v>
      </c>
      <c r="F6" s="13">
        <f t="shared" si="8"/>
        <v>15971.55</v>
      </c>
      <c r="G6" s="13">
        <f t="shared" si="8"/>
        <v>0</v>
      </c>
      <c r="H6" s="13">
        <f t="shared" si="8"/>
        <v>0</v>
      </c>
      <c r="I6" s="13">
        <f t="shared" ref="I6:O6" si="9">GETPIVOTDATA("Pago ou Recebido",$C$11,"Data de Crédito ou Pagto (completa)",I12,"Tipo","1. Contas a Receber")</f>
        <v>199.83</v>
      </c>
      <c r="J6" s="13">
        <f t="shared" si="9"/>
        <v>100</v>
      </c>
      <c r="K6" s="13">
        <f t="shared" si="9"/>
        <v>317166.99</v>
      </c>
      <c r="L6" s="13">
        <f t="shared" si="9"/>
        <v>180000</v>
      </c>
      <c r="M6" s="13">
        <f t="shared" si="9"/>
        <v>0</v>
      </c>
      <c r="N6" s="13">
        <f t="shared" si="9"/>
        <v>0</v>
      </c>
      <c r="O6" s="13">
        <f t="shared" si="9"/>
        <v>184096.5</v>
      </c>
      <c r="P6" s="13">
        <f t="shared" ref="P6:Q6" si="10">GETPIVOTDATA("Pago ou Recebido",$C$11,"Data de Crédito ou Pagto (completa)",P12,"Tipo","1. Contas a Receber")</f>
        <v>0</v>
      </c>
      <c r="Q6" s="13">
        <f t="shared" si="10"/>
        <v>0</v>
      </c>
    </row>
    <row r="7" spans="2:18" ht="19.5" x14ac:dyDescent="0.55000000000000004">
      <c r="B7" s="12">
        <f>SUM(D7:X7)</f>
        <v>-823278.14000000013</v>
      </c>
      <c r="C7" s="13" t="s">
        <v>181</v>
      </c>
      <c r="D7" s="13">
        <f>GETPIVOTDATA("Pago ou Recebido",$C$11,"Data de Crédito ou Pagto (completa)",D12,"Tipo","2. Contas a Pagar")</f>
        <v>0</v>
      </c>
      <c r="E7" s="13">
        <f t="shared" ref="E7:H7" si="11">GETPIVOTDATA("Pago ou Recebido",$C$11,"Data de Crédito ou Pagto (completa)",E12,"Tipo","2. Contas a Pagar")</f>
        <v>-10140.799999999999</v>
      </c>
      <c r="F7" s="13">
        <f t="shared" si="11"/>
        <v>-17896.439999999999</v>
      </c>
      <c r="G7" s="13">
        <f t="shared" si="11"/>
        <v>-4497.3900000000003</v>
      </c>
      <c r="H7" s="13">
        <f t="shared" si="11"/>
        <v>-1636.75</v>
      </c>
      <c r="I7" s="13">
        <f t="shared" ref="I7:O7" si="12">GETPIVOTDATA("Pago ou Recebido",$C$11,"Data de Crédito ou Pagto (completa)",I12,"Tipo","2. Contas a Pagar")</f>
        <v>0</v>
      </c>
      <c r="J7" s="13">
        <f t="shared" si="12"/>
        <v>-100</v>
      </c>
      <c r="K7" s="13">
        <f t="shared" si="12"/>
        <v>-364673.4</v>
      </c>
      <c r="L7" s="13">
        <f t="shared" si="12"/>
        <v>-7150.12</v>
      </c>
      <c r="M7" s="13">
        <f t="shared" si="12"/>
        <v>-303377.7</v>
      </c>
      <c r="N7" s="13">
        <f t="shared" si="12"/>
        <v>-10549.54</v>
      </c>
      <c r="O7" s="13">
        <f t="shared" si="12"/>
        <v>-89628.5</v>
      </c>
      <c r="P7" s="13">
        <f t="shared" ref="P7:Q7" si="13">GETPIVOTDATA("Pago ou Recebido",$C$11,"Data de Crédito ou Pagto (completa)",P12,"Tipo","2. Contas a Pagar")</f>
        <v>-12017</v>
      </c>
      <c r="Q7" s="13">
        <f t="shared" si="13"/>
        <v>-1610.5</v>
      </c>
    </row>
    <row r="8" spans="2:18" ht="19.5" x14ac:dyDescent="0.55000000000000004">
      <c r="B8" s="11">
        <f>SUM(B5:B7)</f>
        <v>105256.72999999986</v>
      </c>
      <c r="C8" s="11" t="s">
        <v>182</v>
      </c>
      <c r="D8" s="11">
        <f>SUM(D5:D7)</f>
        <v>200000</v>
      </c>
      <c r="E8" s="11">
        <f t="shared" ref="E8:H8" si="14">SUM(E5:E7)</f>
        <v>220859.2</v>
      </c>
      <c r="F8" s="11">
        <f t="shared" si="14"/>
        <v>218934.31</v>
      </c>
      <c r="G8" s="11">
        <f t="shared" si="14"/>
        <v>214436.91999999998</v>
      </c>
      <c r="H8" s="11">
        <f t="shared" si="14"/>
        <v>212800.16999999998</v>
      </c>
      <c r="I8" s="11">
        <f t="shared" ref="I8:O8" si="15">SUM(I5:I7)</f>
        <v>212999.99999999997</v>
      </c>
      <c r="J8" s="11">
        <f t="shared" si="15"/>
        <v>212999.99999999997</v>
      </c>
      <c r="K8" s="11">
        <f t="shared" si="15"/>
        <v>165493.58999999997</v>
      </c>
      <c r="L8" s="11">
        <f t="shared" si="15"/>
        <v>338343.47</v>
      </c>
      <c r="M8" s="11">
        <f t="shared" si="15"/>
        <v>34965.76999999996</v>
      </c>
      <c r="N8" s="11">
        <f t="shared" si="15"/>
        <v>24416.22999999996</v>
      </c>
      <c r="O8" s="11">
        <f t="shared" si="15"/>
        <v>118884.22999999995</v>
      </c>
      <c r="P8" s="11">
        <f t="shared" ref="P8:Q8" si="16">SUM(P5:P7)</f>
        <v>106867.22999999995</v>
      </c>
      <c r="Q8" s="11">
        <f t="shared" si="16"/>
        <v>105256.72999999995</v>
      </c>
    </row>
    <row r="11" spans="2:18" x14ac:dyDescent="0.25">
      <c r="C11" s="2" t="s">
        <v>62</v>
      </c>
      <c r="D11" s="2" t="s">
        <v>60</v>
      </c>
    </row>
    <row r="12" spans="2:18" x14ac:dyDescent="0.25">
      <c r="C12" s="2" t="s">
        <v>63</v>
      </c>
      <c r="D12" s="1">
        <v>46080</v>
      </c>
      <c r="E12" s="1">
        <v>46083</v>
      </c>
      <c r="F12" s="1">
        <v>46084</v>
      </c>
      <c r="G12" s="1">
        <v>46085</v>
      </c>
      <c r="H12" s="1">
        <v>46087</v>
      </c>
      <c r="I12" s="1">
        <v>46082</v>
      </c>
      <c r="J12" s="1">
        <v>46090</v>
      </c>
      <c r="K12" s="1">
        <v>46091</v>
      </c>
      <c r="L12" s="1">
        <v>46092</v>
      </c>
      <c r="M12" s="1">
        <v>46093</v>
      </c>
      <c r="N12" s="1">
        <v>46094</v>
      </c>
      <c r="O12" s="1">
        <v>46097</v>
      </c>
      <c r="P12" s="1">
        <v>46098</v>
      </c>
      <c r="Q12" s="1">
        <v>46099</v>
      </c>
      <c r="R12" s="1" t="s">
        <v>61</v>
      </c>
    </row>
    <row r="13" spans="2:18" x14ac:dyDescent="0.25">
      <c r="C13" s="3" t="s">
        <v>19</v>
      </c>
      <c r="D13" s="4">
        <v>200000</v>
      </c>
      <c r="E13" s="4">
        <v>31000</v>
      </c>
      <c r="F13" s="4">
        <v>15971.55</v>
      </c>
      <c r="G13" s="4"/>
      <c r="H13" s="4"/>
      <c r="I13" s="4">
        <v>199.83</v>
      </c>
      <c r="J13" s="4">
        <v>100</v>
      </c>
      <c r="K13" s="4">
        <v>317166.99</v>
      </c>
      <c r="L13" s="4">
        <v>180000</v>
      </c>
      <c r="M13" s="4"/>
      <c r="N13" s="4"/>
      <c r="O13" s="4">
        <v>184096.5</v>
      </c>
      <c r="P13" s="4"/>
      <c r="Q13" s="4"/>
      <c r="R13" s="4">
        <v>928534.87</v>
      </c>
    </row>
    <row r="14" spans="2:18" x14ac:dyDescent="0.25">
      <c r="C14" s="5" t="s">
        <v>168</v>
      </c>
      <c r="D14" s="4">
        <v>200000</v>
      </c>
      <c r="E14" s="4">
        <v>31000</v>
      </c>
      <c r="F14" s="4">
        <v>15971.55</v>
      </c>
      <c r="G14" s="4"/>
      <c r="H14" s="4"/>
      <c r="I14" s="4">
        <v>199.83</v>
      </c>
      <c r="J14" s="4">
        <v>100</v>
      </c>
      <c r="K14" s="4">
        <v>100000</v>
      </c>
      <c r="L14" s="4">
        <v>180000</v>
      </c>
      <c r="M14" s="4"/>
      <c r="N14" s="4"/>
      <c r="O14" s="4">
        <v>162765</v>
      </c>
      <c r="P14" s="4"/>
      <c r="Q14" s="4"/>
      <c r="R14" s="4">
        <v>690036.38</v>
      </c>
    </row>
    <row r="15" spans="2:18" x14ac:dyDescent="0.25">
      <c r="C15" s="6" t="s">
        <v>20</v>
      </c>
      <c r="D15" s="4">
        <v>200000</v>
      </c>
      <c r="E15" s="4">
        <v>31000</v>
      </c>
      <c r="F15" s="4">
        <v>15971.55</v>
      </c>
      <c r="G15" s="4"/>
      <c r="H15" s="4"/>
      <c r="I15" s="4">
        <v>199.83</v>
      </c>
      <c r="J15" s="4">
        <v>100</v>
      </c>
      <c r="K15" s="4">
        <v>100000</v>
      </c>
      <c r="L15" s="4">
        <v>180000</v>
      </c>
      <c r="M15" s="4"/>
      <c r="N15" s="4"/>
      <c r="O15" s="4">
        <v>162765</v>
      </c>
      <c r="P15" s="4"/>
      <c r="Q15" s="4"/>
      <c r="R15" s="4">
        <v>690036.38</v>
      </c>
    </row>
    <row r="16" spans="2:18" x14ac:dyDescent="0.25">
      <c r="C16" s="5" t="s">
        <v>305</v>
      </c>
      <c r="D16" s="4"/>
      <c r="E16" s="4"/>
      <c r="F16" s="4"/>
      <c r="G16" s="4"/>
      <c r="H16" s="4"/>
      <c r="I16" s="4"/>
      <c r="J16" s="4"/>
      <c r="K16" s="4">
        <v>217166.99</v>
      </c>
      <c r="L16" s="4"/>
      <c r="M16" s="4"/>
      <c r="N16" s="4"/>
      <c r="O16" s="4">
        <v>21331.5</v>
      </c>
      <c r="P16" s="4"/>
      <c r="Q16" s="4"/>
      <c r="R16" s="4">
        <v>238498.49</v>
      </c>
    </row>
    <row r="17" spans="3:18" x14ac:dyDescent="0.25">
      <c r="C17" s="6" t="s">
        <v>250</v>
      </c>
      <c r="D17" s="4"/>
      <c r="E17" s="4"/>
      <c r="F17" s="4"/>
      <c r="G17" s="4"/>
      <c r="H17" s="4"/>
      <c r="I17" s="4"/>
      <c r="J17" s="4"/>
      <c r="K17" s="4">
        <v>213000</v>
      </c>
      <c r="L17" s="4"/>
      <c r="M17" s="4"/>
      <c r="N17" s="4"/>
      <c r="O17" s="4"/>
      <c r="P17" s="4"/>
      <c r="Q17" s="4"/>
      <c r="R17" s="4">
        <v>213000</v>
      </c>
    </row>
    <row r="18" spans="3:18" x14ac:dyDescent="0.25">
      <c r="C18" s="6" t="s">
        <v>255</v>
      </c>
      <c r="D18" s="4"/>
      <c r="E18" s="4"/>
      <c r="F18" s="4"/>
      <c r="G18" s="4"/>
      <c r="H18" s="4"/>
      <c r="I18" s="4"/>
      <c r="J18" s="4"/>
      <c r="K18" s="4">
        <v>4166.99</v>
      </c>
      <c r="L18" s="4"/>
      <c r="M18" s="4"/>
      <c r="N18" s="4"/>
      <c r="O18" s="4">
        <v>21331.5</v>
      </c>
      <c r="P18" s="4"/>
      <c r="Q18" s="4"/>
      <c r="R18" s="4">
        <v>25498.489999999998</v>
      </c>
    </row>
    <row r="19" spans="3:18" x14ac:dyDescent="0.25">
      <c r="C19" s="14" t="s">
        <v>232</v>
      </c>
      <c r="D19" s="4"/>
      <c r="E19" s="4"/>
      <c r="F19" s="4"/>
      <c r="G19" s="4"/>
      <c r="H19" s="4"/>
      <c r="I19" s="4"/>
      <c r="J19" s="4"/>
      <c r="K19" s="4">
        <v>4166.99</v>
      </c>
      <c r="L19" s="4"/>
      <c r="M19" s="4"/>
      <c r="N19" s="4"/>
      <c r="O19" s="4">
        <v>21331.5</v>
      </c>
      <c r="P19" s="4"/>
      <c r="Q19" s="4"/>
      <c r="R19" s="4">
        <v>25498.489999999998</v>
      </c>
    </row>
    <row r="20" spans="3:18" x14ac:dyDescent="0.25">
      <c r="C20" s="3" t="s">
        <v>27</v>
      </c>
      <c r="D20" s="4"/>
      <c r="E20" s="4">
        <v>-10140.799999999999</v>
      </c>
      <c r="F20" s="4">
        <v>-17896.439999999999</v>
      </c>
      <c r="G20" s="4">
        <v>-4497.3900000000003</v>
      </c>
      <c r="H20" s="4">
        <v>-1636.75</v>
      </c>
      <c r="I20" s="4"/>
      <c r="J20" s="4">
        <v>-100</v>
      </c>
      <c r="K20" s="4">
        <v>-364673.4</v>
      </c>
      <c r="L20" s="4">
        <v>-7150.12</v>
      </c>
      <c r="M20" s="4">
        <v>-303377.7</v>
      </c>
      <c r="N20" s="4">
        <v>-10549.54</v>
      </c>
      <c r="O20" s="4">
        <v>-89628.5</v>
      </c>
      <c r="P20" s="4">
        <v>-12017</v>
      </c>
      <c r="Q20" s="4">
        <v>-1610.5</v>
      </c>
      <c r="R20" s="4">
        <v>-823278.14</v>
      </c>
    </row>
    <row r="21" spans="3:18" x14ac:dyDescent="0.25">
      <c r="C21" s="5" t="s">
        <v>170</v>
      </c>
      <c r="D21" s="4"/>
      <c r="E21" s="4">
        <v>-2320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v>-2320</v>
      </c>
    </row>
    <row r="22" spans="3:18" x14ac:dyDescent="0.25">
      <c r="C22" s="6" t="s">
        <v>28</v>
      </c>
      <c r="D22" s="4"/>
      <c r="E22" s="4">
        <v>-2320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-2320</v>
      </c>
    </row>
    <row r="23" spans="3:18" x14ac:dyDescent="0.25">
      <c r="C23" s="5" t="s">
        <v>172</v>
      </c>
      <c r="D23" s="4"/>
      <c r="E23" s="4">
        <v>-7820.8</v>
      </c>
      <c r="F23" s="4">
        <v>-17896.439999999999</v>
      </c>
      <c r="G23" s="4">
        <v>-397.39</v>
      </c>
      <c r="H23" s="4">
        <v>-1551</v>
      </c>
      <c r="I23" s="4"/>
      <c r="J23" s="4"/>
      <c r="K23" s="4"/>
      <c r="L23" s="4">
        <v>-5520</v>
      </c>
      <c r="M23" s="4">
        <v>-3360.7</v>
      </c>
      <c r="N23" s="4">
        <v>-5000</v>
      </c>
      <c r="O23" s="4">
        <v>-64000</v>
      </c>
      <c r="P23" s="4"/>
      <c r="Q23" s="4"/>
      <c r="R23" s="4">
        <v>-105546.33</v>
      </c>
    </row>
    <row r="24" spans="3:18" x14ac:dyDescent="0.25">
      <c r="C24" s="6" t="s">
        <v>43</v>
      </c>
      <c r="D24" s="4"/>
      <c r="E24" s="4"/>
      <c r="F24" s="4">
        <v>-101.8</v>
      </c>
      <c r="G24" s="4">
        <v>-397.39</v>
      </c>
      <c r="H24" s="4">
        <v>-91</v>
      </c>
      <c r="I24" s="4"/>
      <c r="J24" s="4"/>
      <c r="K24" s="4"/>
      <c r="L24" s="4"/>
      <c r="M24" s="4"/>
      <c r="N24" s="4"/>
      <c r="O24" s="4"/>
      <c r="P24" s="4"/>
      <c r="Q24" s="4"/>
      <c r="R24" s="4">
        <v>-590.19000000000005</v>
      </c>
    </row>
    <row r="25" spans="3:18" x14ac:dyDescent="0.25">
      <c r="C25" s="6" t="s">
        <v>45</v>
      </c>
      <c r="D25" s="4"/>
      <c r="E25" s="4"/>
      <c r="F25" s="4">
        <v>-400</v>
      </c>
      <c r="G25" s="4"/>
      <c r="H25" s="4">
        <v>-1460</v>
      </c>
      <c r="I25" s="4"/>
      <c r="J25" s="4"/>
      <c r="K25" s="4"/>
      <c r="L25" s="4">
        <v>-520</v>
      </c>
      <c r="M25" s="4"/>
      <c r="N25" s="4"/>
      <c r="O25" s="4"/>
      <c r="P25" s="4"/>
      <c r="Q25" s="4"/>
      <c r="R25" s="4">
        <v>-2380</v>
      </c>
    </row>
    <row r="26" spans="3:18" x14ac:dyDescent="0.25">
      <c r="C26" s="6" t="s">
        <v>33</v>
      </c>
      <c r="D26" s="4"/>
      <c r="E26" s="4">
        <v>-7820.8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v>-7820.8</v>
      </c>
    </row>
    <row r="27" spans="3:18" x14ac:dyDescent="0.25">
      <c r="C27" s="6" t="s">
        <v>38</v>
      </c>
      <c r="D27" s="4"/>
      <c r="E27" s="4"/>
      <c r="F27" s="4">
        <v>-1423.09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v>-1423.09</v>
      </c>
    </row>
    <row r="28" spans="3:18" x14ac:dyDescent="0.25">
      <c r="C28" s="6" t="s">
        <v>142</v>
      </c>
      <c r="D28" s="4"/>
      <c r="E28" s="4"/>
      <c r="F28" s="4">
        <v>-15971.55</v>
      </c>
      <c r="G28" s="4"/>
      <c r="H28" s="4"/>
      <c r="I28" s="4"/>
      <c r="J28" s="4"/>
      <c r="K28" s="4"/>
      <c r="L28" s="4">
        <v>-2000</v>
      </c>
      <c r="M28" s="4">
        <v>-3360.7</v>
      </c>
      <c r="N28" s="4">
        <v>-5000</v>
      </c>
      <c r="O28" s="4">
        <v>-64000</v>
      </c>
      <c r="P28" s="4"/>
      <c r="Q28" s="4"/>
      <c r="R28" s="4">
        <v>-90332.25</v>
      </c>
    </row>
    <row r="29" spans="3:18" x14ac:dyDescent="0.25">
      <c r="C29" s="6" t="s">
        <v>128</v>
      </c>
      <c r="D29" s="4"/>
      <c r="E29" s="4"/>
      <c r="F29" s="4"/>
      <c r="G29" s="4"/>
      <c r="H29" s="4"/>
      <c r="I29" s="4"/>
      <c r="J29" s="4"/>
      <c r="K29" s="4"/>
      <c r="L29" s="4">
        <v>-3000</v>
      </c>
      <c r="M29" s="4"/>
      <c r="N29" s="4"/>
      <c r="O29" s="4"/>
      <c r="P29" s="4"/>
      <c r="Q29" s="4"/>
      <c r="R29" s="4">
        <v>-3000</v>
      </c>
    </row>
    <row r="30" spans="3:18" x14ac:dyDescent="0.25">
      <c r="C30" s="5" t="s">
        <v>173</v>
      </c>
      <c r="D30" s="4"/>
      <c r="E30" s="4"/>
      <c r="F30" s="4"/>
      <c r="G30" s="4">
        <v>-4100</v>
      </c>
      <c r="H30" s="4"/>
      <c r="I30" s="4"/>
      <c r="J30" s="4">
        <v>-100</v>
      </c>
      <c r="K30" s="4">
        <v>-77.8</v>
      </c>
      <c r="L30" s="4">
        <v>-30.12</v>
      </c>
      <c r="M30" s="4">
        <v>-17</v>
      </c>
      <c r="N30" s="4">
        <v>-27.79</v>
      </c>
      <c r="O30" s="4">
        <v>-17</v>
      </c>
      <c r="P30" s="4">
        <v>-17</v>
      </c>
      <c r="Q30" s="4">
        <v>-8.5</v>
      </c>
      <c r="R30" s="4">
        <v>-4395.21</v>
      </c>
    </row>
    <row r="31" spans="3:18" x14ac:dyDescent="0.25">
      <c r="C31" s="6" t="s">
        <v>49</v>
      </c>
      <c r="D31" s="4"/>
      <c r="E31" s="4"/>
      <c r="F31" s="4"/>
      <c r="G31" s="4">
        <v>-4100</v>
      </c>
      <c r="H31" s="4"/>
      <c r="I31" s="4"/>
      <c r="J31" s="4">
        <v>-90</v>
      </c>
      <c r="K31" s="4"/>
      <c r="L31" s="4"/>
      <c r="M31" s="4"/>
      <c r="N31" s="4"/>
      <c r="O31" s="4"/>
      <c r="P31" s="4"/>
      <c r="Q31" s="4"/>
      <c r="R31" s="4">
        <v>-4190</v>
      </c>
    </row>
    <row r="32" spans="3:18" x14ac:dyDescent="0.25">
      <c r="C32" s="6" t="s">
        <v>145</v>
      </c>
      <c r="D32" s="4"/>
      <c r="E32" s="4"/>
      <c r="F32" s="4"/>
      <c r="G32" s="4"/>
      <c r="H32" s="4"/>
      <c r="I32" s="4"/>
      <c r="J32" s="4">
        <v>-10</v>
      </c>
      <c r="K32" s="4">
        <v>-77.8</v>
      </c>
      <c r="L32" s="4">
        <v>-30.12</v>
      </c>
      <c r="M32" s="4">
        <v>-17</v>
      </c>
      <c r="N32" s="4">
        <v>-27.79</v>
      </c>
      <c r="O32" s="4">
        <v>-17</v>
      </c>
      <c r="P32" s="4">
        <v>-17</v>
      </c>
      <c r="Q32" s="4">
        <v>-8.5</v>
      </c>
      <c r="R32" s="4">
        <v>-205.21</v>
      </c>
    </row>
    <row r="33" spans="3:18" x14ac:dyDescent="0.25">
      <c r="C33" s="5" t="s">
        <v>176</v>
      </c>
      <c r="D33" s="4"/>
      <c r="E33" s="4"/>
      <c r="F33" s="4"/>
      <c r="G33" s="4"/>
      <c r="H33" s="4">
        <v>-85.75</v>
      </c>
      <c r="I33" s="4"/>
      <c r="J33" s="4"/>
      <c r="K33" s="4"/>
      <c r="L33" s="4"/>
      <c r="M33" s="4"/>
      <c r="N33" s="4"/>
      <c r="O33" s="4"/>
      <c r="P33" s="4"/>
      <c r="Q33" s="4"/>
      <c r="R33" s="4">
        <v>-85.75</v>
      </c>
    </row>
    <row r="34" spans="3:18" x14ac:dyDescent="0.25">
      <c r="C34" s="6" t="s">
        <v>231</v>
      </c>
      <c r="D34" s="4"/>
      <c r="E34" s="4"/>
      <c r="F34" s="4"/>
      <c r="G34" s="4"/>
      <c r="H34" s="4">
        <v>-85.75</v>
      </c>
      <c r="I34" s="4"/>
      <c r="J34" s="4"/>
      <c r="K34" s="4"/>
      <c r="L34" s="4"/>
      <c r="M34" s="4"/>
      <c r="N34" s="4"/>
      <c r="O34" s="4"/>
      <c r="P34" s="4"/>
      <c r="Q34" s="4"/>
      <c r="R34" s="4">
        <v>-85.75</v>
      </c>
    </row>
    <row r="35" spans="3:18" x14ac:dyDescent="0.25">
      <c r="C35" s="14" t="s">
        <v>40</v>
      </c>
      <c r="D35" s="4"/>
      <c r="E35" s="4"/>
      <c r="F35" s="4"/>
      <c r="G35" s="4"/>
      <c r="H35" s="4">
        <v>-85.75</v>
      </c>
      <c r="I35" s="4"/>
      <c r="J35" s="4"/>
      <c r="K35" s="4"/>
      <c r="L35" s="4"/>
      <c r="M35" s="4"/>
      <c r="N35" s="4"/>
      <c r="O35" s="4"/>
      <c r="P35" s="4"/>
      <c r="Q35" s="4"/>
      <c r="R35" s="4">
        <v>-85.75</v>
      </c>
    </row>
    <row r="36" spans="3:18" x14ac:dyDescent="0.25">
      <c r="C36" s="5" t="s">
        <v>169</v>
      </c>
      <c r="D36" s="4"/>
      <c r="E36" s="4"/>
      <c r="F36" s="4"/>
      <c r="G36" s="4"/>
      <c r="H36" s="4"/>
      <c r="I36" s="4"/>
      <c r="J36" s="4"/>
      <c r="K36" s="4">
        <v>-5000</v>
      </c>
      <c r="L36" s="4">
        <v>-1600</v>
      </c>
      <c r="M36" s="4">
        <v>-300000</v>
      </c>
      <c r="N36" s="4">
        <v>-5521.75</v>
      </c>
      <c r="O36" s="4">
        <v>-4280</v>
      </c>
      <c r="P36" s="4">
        <v>-12000</v>
      </c>
      <c r="Q36" s="4">
        <v>-1602</v>
      </c>
      <c r="R36" s="4">
        <v>-330003.75</v>
      </c>
    </row>
    <row r="37" spans="3:18" x14ac:dyDescent="0.25">
      <c r="C37" s="6" t="s">
        <v>91</v>
      </c>
      <c r="D37" s="4"/>
      <c r="E37" s="4"/>
      <c r="F37" s="4"/>
      <c r="G37" s="4"/>
      <c r="H37" s="4"/>
      <c r="I37" s="4"/>
      <c r="J37" s="4"/>
      <c r="K37" s="4">
        <v>-5000</v>
      </c>
      <c r="L37" s="4">
        <v>-1600</v>
      </c>
      <c r="M37" s="4"/>
      <c r="N37" s="4">
        <v>-3676</v>
      </c>
      <c r="O37" s="4"/>
      <c r="P37" s="4">
        <v>-2000</v>
      </c>
      <c r="Q37" s="4">
        <v>-1602</v>
      </c>
      <c r="R37" s="4">
        <v>-13878</v>
      </c>
    </row>
    <row r="38" spans="3:18" x14ac:dyDescent="0.25">
      <c r="C38" s="14" t="s">
        <v>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v>-1602</v>
      </c>
      <c r="R38" s="4">
        <v>-1602</v>
      </c>
    </row>
    <row r="39" spans="3:18" x14ac:dyDescent="0.25">
      <c r="C39" s="14" t="s">
        <v>257</v>
      </c>
      <c r="D39" s="4"/>
      <c r="E39" s="4"/>
      <c r="F39" s="4"/>
      <c r="G39" s="4"/>
      <c r="H39" s="4"/>
      <c r="I39" s="4"/>
      <c r="J39" s="4"/>
      <c r="K39" s="4">
        <v>-5000</v>
      </c>
      <c r="L39" s="4"/>
      <c r="M39" s="4"/>
      <c r="N39" s="4"/>
      <c r="O39" s="4"/>
      <c r="P39" s="4">
        <v>-2000</v>
      </c>
      <c r="Q39" s="4"/>
      <c r="R39" s="4">
        <v>-7000</v>
      </c>
    </row>
    <row r="40" spans="3:18" x14ac:dyDescent="0.25">
      <c r="C40" s="14" t="s">
        <v>266</v>
      </c>
      <c r="D40" s="4"/>
      <c r="E40" s="4"/>
      <c r="F40" s="4"/>
      <c r="G40" s="4"/>
      <c r="H40" s="4"/>
      <c r="I40" s="4"/>
      <c r="J40" s="4"/>
      <c r="K40" s="4"/>
      <c r="L40" s="4">
        <v>-1600</v>
      </c>
      <c r="M40" s="4"/>
      <c r="N40" s="4"/>
      <c r="O40" s="4"/>
      <c r="P40" s="4"/>
      <c r="Q40" s="4"/>
      <c r="R40" s="4">
        <v>-1600</v>
      </c>
    </row>
    <row r="41" spans="3:18" x14ac:dyDescent="0.25">
      <c r="C41" s="14" t="s">
        <v>287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>
        <v>-3676</v>
      </c>
      <c r="O41" s="4"/>
      <c r="P41" s="4"/>
      <c r="Q41" s="4"/>
      <c r="R41" s="4">
        <v>-3676</v>
      </c>
    </row>
    <row r="42" spans="3:18" x14ac:dyDescent="0.25">
      <c r="C42" s="6" t="s">
        <v>100</v>
      </c>
      <c r="D42" s="4"/>
      <c r="E42" s="4"/>
      <c r="F42" s="4"/>
      <c r="G42" s="4"/>
      <c r="H42" s="4"/>
      <c r="I42" s="4"/>
      <c r="J42" s="4"/>
      <c r="K42" s="4"/>
      <c r="L42" s="4"/>
      <c r="M42" s="4">
        <v>-300000</v>
      </c>
      <c r="N42" s="4"/>
      <c r="O42" s="4"/>
      <c r="P42" s="4"/>
      <c r="Q42" s="4"/>
      <c r="R42" s="4">
        <v>-300000</v>
      </c>
    </row>
    <row r="43" spans="3:18" x14ac:dyDescent="0.25">
      <c r="C43" s="14" t="s">
        <v>285</v>
      </c>
      <c r="D43" s="4"/>
      <c r="E43" s="4"/>
      <c r="F43" s="4"/>
      <c r="G43" s="4"/>
      <c r="H43" s="4"/>
      <c r="I43" s="4"/>
      <c r="J43" s="4"/>
      <c r="K43" s="4"/>
      <c r="L43" s="4"/>
      <c r="M43" s="4">
        <v>-300000</v>
      </c>
      <c r="N43" s="4"/>
      <c r="O43" s="4"/>
      <c r="P43" s="4"/>
      <c r="Q43" s="4"/>
      <c r="R43" s="4">
        <v>-300000</v>
      </c>
    </row>
    <row r="44" spans="3:18" x14ac:dyDescent="0.25">
      <c r="C44" s="6" t="s">
        <v>95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-145.75</v>
      </c>
      <c r="O44" s="4"/>
      <c r="P44" s="4"/>
      <c r="Q44" s="4"/>
      <c r="R44" s="4">
        <v>-145.75</v>
      </c>
    </row>
    <row r="45" spans="3:18" x14ac:dyDescent="0.25">
      <c r="C45" s="14" t="s">
        <v>287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>
        <v>-145.75</v>
      </c>
      <c r="O45" s="4"/>
      <c r="P45" s="4"/>
      <c r="Q45" s="4"/>
      <c r="R45" s="4">
        <v>-145.75</v>
      </c>
    </row>
    <row r="46" spans="3:18" x14ac:dyDescent="0.25">
      <c r="C46" s="6" t="s">
        <v>110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-1700</v>
      </c>
      <c r="O46" s="4"/>
      <c r="P46" s="4"/>
      <c r="Q46" s="4"/>
      <c r="R46" s="4">
        <v>-1700</v>
      </c>
    </row>
    <row r="47" spans="3:18" x14ac:dyDescent="0.25">
      <c r="C47" s="14" t="s">
        <v>294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>
        <v>-1700</v>
      </c>
      <c r="O47" s="4"/>
      <c r="P47" s="4"/>
      <c r="Q47" s="4"/>
      <c r="R47" s="4">
        <v>-1700</v>
      </c>
    </row>
    <row r="48" spans="3:18" x14ac:dyDescent="0.25">
      <c r="C48" s="6" t="s">
        <v>99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-4280</v>
      </c>
      <c r="P48" s="4"/>
      <c r="Q48" s="4"/>
      <c r="R48" s="4">
        <v>-4280</v>
      </c>
    </row>
    <row r="49" spans="3:18" x14ac:dyDescent="0.25">
      <c r="C49" s="14" t="s">
        <v>287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-4280</v>
      </c>
      <c r="P49" s="4"/>
      <c r="Q49" s="4"/>
      <c r="R49" s="4">
        <v>-4280</v>
      </c>
    </row>
    <row r="50" spans="3:18" x14ac:dyDescent="0.25">
      <c r="C50" s="6" t="s">
        <v>93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-10000</v>
      </c>
      <c r="Q50" s="4"/>
      <c r="R50" s="4">
        <v>-10000</v>
      </c>
    </row>
    <row r="51" spans="3:18" x14ac:dyDescent="0.25">
      <c r="C51" s="14" t="s">
        <v>287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-10000</v>
      </c>
      <c r="Q51" s="4"/>
      <c r="R51" s="4">
        <v>-10000</v>
      </c>
    </row>
    <row r="52" spans="3:18" x14ac:dyDescent="0.25">
      <c r="C52" s="5" t="s">
        <v>305</v>
      </c>
      <c r="D52" s="4"/>
      <c r="E52" s="4"/>
      <c r="F52" s="4"/>
      <c r="G52" s="4"/>
      <c r="H52" s="4"/>
      <c r="I52" s="4"/>
      <c r="J52" s="4"/>
      <c r="K52" s="4">
        <v>-359595.6</v>
      </c>
      <c r="L52" s="4"/>
      <c r="M52" s="4"/>
      <c r="N52" s="4"/>
      <c r="O52" s="4">
        <v>-21331.5</v>
      </c>
      <c r="P52" s="4"/>
      <c r="Q52" s="4"/>
      <c r="R52" s="4">
        <v>-380927.1</v>
      </c>
    </row>
    <row r="53" spans="3:18" x14ac:dyDescent="0.25">
      <c r="C53" s="6" t="s">
        <v>255</v>
      </c>
      <c r="D53" s="4"/>
      <c r="E53" s="4"/>
      <c r="F53" s="4"/>
      <c r="G53" s="4"/>
      <c r="H53" s="4"/>
      <c r="I53" s="4"/>
      <c r="J53" s="4"/>
      <c r="K53" s="4">
        <v>-146595.6</v>
      </c>
      <c r="L53" s="4"/>
      <c r="M53" s="4"/>
      <c r="N53" s="4"/>
      <c r="O53" s="4">
        <v>-21331.5</v>
      </c>
      <c r="P53" s="4"/>
      <c r="Q53" s="4"/>
      <c r="R53" s="4">
        <v>-167927.1</v>
      </c>
    </row>
    <row r="54" spans="3:18" x14ac:dyDescent="0.25">
      <c r="C54" s="14" t="s">
        <v>232</v>
      </c>
      <c r="D54" s="4"/>
      <c r="E54" s="4"/>
      <c r="F54" s="4"/>
      <c r="G54" s="4"/>
      <c r="H54" s="4"/>
      <c r="I54" s="4"/>
      <c r="J54" s="4"/>
      <c r="K54" s="4">
        <v>-146595.6</v>
      </c>
      <c r="L54" s="4"/>
      <c r="M54" s="4"/>
      <c r="N54" s="4"/>
      <c r="O54" s="4">
        <v>-21331.5</v>
      </c>
      <c r="P54" s="4"/>
      <c r="Q54" s="4"/>
      <c r="R54" s="4">
        <v>-167927.1</v>
      </c>
    </row>
    <row r="55" spans="3:18" x14ac:dyDescent="0.25">
      <c r="C55" s="6" t="s">
        <v>260</v>
      </c>
      <c r="D55" s="4"/>
      <c r="E55" s="4"/>
      <c r="F55" s="4"/>
      <c r="G55" s="4"/>
      <c r="H55" s="4"/>
      <c r="I55" s="4"/>
      <c r="J55" s="4"/>
      <c r="K55" s="4">
        <v>-213000</v>
      </c>
      <c r="L55" s="4"/>
      <c r="M55" s="4"/>
      <c r="N55" s="4"/>
      <c r="O55" s="4"/>
      <c r="P55" s="4"/>
      <c r="Q55" s="4"/>
      <c r="R55" s="4">
        <v>-213000</v>
      </c>
    </row>
    <row r="56" spans="3:18" x14ac:dyDescent="0.25">
      <c r="C56" s="14" t="s">
        <v>237</v>
      </c>
      <c r="D56" s="4"/>
      <c r="E56" s="4"/>
      <c r="F56" s="4"/>
      <c r="G56" s="4"/>
      <c r="H56" s="4"/>
      <c r="I56" s="4"/>
      <c r="J56" s="4"/>
      <c r="K56" s="4">
        <v>-213000</v>
      </c>
      <c r="L56" s="4"/>
      <c r="M56" s="4"/>
      <c r="N56" s="4"/>
      <c r="O56" s="4"/>
      <c r="P56" s="4"/>
      <c r="Q56" s="4"/>
      <c r="R56" s="4">
        <v>-213000</v>
      </c>
    </row>
    <row r="57" spans="3:18" x14ac:dyDescent="0.25">
      <c r="C57" s="3" t="s">
        <v>61</v>
      </c>
      <c r="D57" s="4">
        <v>200000</v>
      </c>
      <c r="E57" s="4">
        <v>20859.2</v>
      </c>
      <c r="F57" s="4">
        <v>-1924.8899999999994</v>
      </c>
      <c r="G57" s="4">
        <v>-4497.3900000000003</v>
      </c>
      <c r="H57" s="4">
        <v>-1636.75</v>
      </c>
      <c r="I57" s="4">
        <v>199.83</v>
      </c>
      <c r="J57" s="4">
        <v>0</v>
      </c>
      <c r="K57" s="4">
        <v>-47506.41</v>
      </c>
      <c r="L57" s="4">
        <v>172849.88</v>
      </c>
      <c r="M57" s="4">
        <v>-303377.7</v>
      </c>
      <c r="N57" s="4">
        <v>-10549.54</v>
      </c>
      <c r="O57" s="4">
        <v>94468</v>
      </c>
      <c r="P57" s="4">
        <v>-12017</v>
      </c>
      <c r="Q57" s="4">
        <v>-1610.5</v>
      </c>
      <c r="R57" s="4">
        <v>105256.7300000001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3F42-779D-4114-97D2-94A66890463E}">
  <dimension ref="B1:BZ90"/>
  <sheetViews>
    <sheetView showGridLines="0" tabSelected="1" topLeftCell="C5" workbookViewId="0">
      <pane xSplit="1" ySplit="8" topLeftCell="BF13" activePane="bottomRight" state="frozen"/>
      <selection activeCell="C5" sqref="C5"/>
      <selection pane="topRight" activeCell="D5" sqref="D5"/>
      <selection pane="bottomLeft" activeCell="C13" sqref="C13"/>
      <selection pane="bottomRight" activeCell="BY8" sqref="BY8"/>
    </sheetView>
  </sheetViews>
  <sheetFormatPr defaultRowHeight="15" x14ac:dyDescent="0.25"/>
  <cols>
    <col min="2" max="2" width="13.7109375" hidden="1" customWidth="1"/>
    <col min="3" max="3" width="37.7109375" bestFit="1" customWidth="1"/>
    <col min="4" max="4" width="19.5703125" bestFit="1" customWidth="1"/>
    <col min="5" max="5" width="10.7109375" bestFit="1" customWidth="1"/>
    <col min="6" max="6" width="11" bestFit="1" customWidth="1"/>
    <col min="7" max="9" width="10.7109375" bestFit="1" customWidth="1"/>
    <col min="10" max="10" width="10.85546875" bestFit="1" customWidth="1"/>
    <col min="11" max="11" width="10.7109375" bestFit="1" customWidth="1"/>
    <col min="12" max="12" width="10.85546875" bestFit="1" customWidth="1"/>
    <col min="13" max="13" width="11" bestFit="1" customWidth="1"/>
    <col min="14" max="15" width="10.7109375" bestFit="1" customWidth="1"/>
    <col min="16" max="16" width="10.85546875" bestFit="1" customWidth="1"/>
    <col min="17" max="19" width="10.7109375" bestFit="1" customWidth="1"/>
    <col min="20" max="20" width="11.42578125" bestFit="1" customWidth="1"/>
    <col min="21" max="21" width="10.85546875" bestFit="1" customWidth="1"/>
    <col min="22" max="24" width="10.7109375" bestFit="1" customWidth="1"/>
    <col min="25" max="27" width="11" bestFit="1" customWidth="1"/>
    <col min="28" max="28" width="10.7109375" bestFit="1" customWidth="1"/>
    <col min="29" max="29" width="11" bestFit="1" customWidth="1"/>
    <col min="30" max="31" width="10.85546875" bestFit="1" customWidth="1"/>
    <col min="32" max="33" width="10.7109375" bestFit="1" customWidth="1"/>
    <col min="34" max="34" width="11.42578125" bestFit="1" customWidth="1"/>
    <col min="35" max="35" width="11.28515625" bestFit="1" customWidth="1"/>
    <col min="36" max="36" width="11" bestFit="1" customWidth="1"/>
    <col min="37" max="37" width="12" bestFit="1" customWidth="1"/>
    <col min="38" max="41" width="10.7109375" bestFit="1" customWidth="1"/>
    <col min="42" max="43" width="11" bestFit="1" customWidth="1"/>
    <col min="44" max="44" width="11.42578125" bestFit="1" customWidth="1"/>
    <col min="45" max="45" width="12" bestFit="1" customWidth="1"/>
    <col min="46" max="46" width="10.7109375" bestFit="1" customWidth="1"/>
    <col min="47" max="47" width="10.85546875" bestFit="1" customWidth="1"/>
    <col min="48" max="52" width="10.7109375" bestFit="1" customWidth="1"/>
    <col min="53" max="53" width="11.7109375" bestFit="1" customWidth="1"/>
    <col min="54" max="55" width="11.140625" bestFit="1" customWidth="1"/>
    <col min="56" max="56" width="11.42578125" bestFit="1" customWidth="1"/>
    <col min="57" max="57" width="12" bestFit="1" customWidth="1"/>
    <col min="58" max="58" width="10.7109375" bestFit="1" customWidth="1"/>
    <col min="59" max="59" width="11.28515625" bestFit="1" customWidth="1"/>
    <col min="60" max="62" width="10.7109375" bestFit="1" customWidth="1"/>
    <col min="63" max="64" width="11.85546875" bestFit="1" customWidth="1"/>
    <col min="65" max="65" width="11.28515625" bestFit="1" customWidth="1"/>
    <col min="66" max="68" width="11.42578125" bestFit="1" customWidth="1"/>
    <col min="69" max="69" width="11.5703125" bestFit="1" customWidth="1"/>
    <col min="70" max="70" width="11.42578125" bestFit="1" customWidth="1"/>
    <col min="71" max="71" width="12.140625" bestFit="1" customWidth="1"/>
    <col min="72" max="73" width="11.140625" bestFit="1" customWidth="1"/>
    <col min="74" max="75" width="11.28515625" bestFit="1" customWidth="1"/>
    <col min="76" max="76" width="10.85546875" bestFit="1" customWidth="1"/>
    <col min="77" max="77" width="11" bestFit="1" customWidth="1"/>
    <col min="78" max="78" width="12.140625" bestFit="1" customWidth="1"/>
  </cols>
  <sheetData>
    <row r="1" spans="2:78" x14ac:dyDescent="0.25">
      <c r="E1" t="s">
        <v>307</v>
      </c>
    </row>
    <row r="5" spans="2:78" ht="19.5" x14ac:dyDescent="0.55000000000000004">
      <c r="B5" s="9">
        <f>D5</f>
        <v>105256.72999999986</v>
      </c>
      <c r="C5" s="10" t="s">
        <v>179</v>
      </c>
      <c r="D5" s="11">
        <f>'FLUXO REALIZADO'!B8</f>
        <v>105256.72999999986</v>
      </c>
      <c r="E5" s="11">
        <f>D8</f>
        <v>105256.72999999986</v>
      </c>
      <c r="F5" s="11">
        <f t="shared" ref="F5:BQ5" si="0">E8</f>
        <v>251785.33999999988</v>
      </c>
      <c r="G5" s="11">
        <f t="shared" si="0"/>
        <v>226185.33999999988</v>
      </c>
      <c r="H5" s="11">
        <f t="shared" si="0"/>
        <v>220745.33999999988</v>
      </c>
      <c r="I5" s="11">
        <f t="shared" si="0"/>
        <v>218245.33999999988</v>
      </c>
      <c r="J5" s="11">
        <f t="shared" si="0"/>
        <v>209245.33999999988</v>
      </c>
      <c r="K5" s="11">
        <f t="shared" si="0"/>
        <v>177245.33999999988</v>
      </c>
      <c r="L5" s="11">
        <f t="shared" si="0"/>
        <v>144610.93999999989</v>
      </c>
      <c r="M5" s="11">
        <f t="shared" si="0"/>
        <v>99734.58999999988</v>
      </c>
      <c r="N5" s="11">
        <f t="shared" si="0"/>
        <v>73734.58999999988</v>
      </c>
      <c r="O5" s="11">
        <f t="shared" si="0"/>
        <v>70484.58999999988</v>
      </c>
      <c r="P5" s="11">
        <f t="shared" si="0"/>
        <v>35071.419999999882</v>
      </c>
      <c r="Q5" s="11">
        <f t="shared" si="0"/>
        <v>2571.4199999998818</v>
      </c>
      <c r="R5" s="11">
        <f t="shared" si="0"/>
        <v>-1328.5800000001182</v>
      </c>
      <c r="S5" s="11">
        <f t="shared" si="0"/>
        <v>-4328.5800000001182</v>
      </c>
      <c r="T5" s="11">
        <f t="shared" si="0"/>
        <v>844205.17999999993</v>
      </c>
      <c r="U5" s="11">
        <f t="shared" si="0"/>
        <v>60696.670222222223</v>
      </c>
      <c r="V5" s="11">
        <f t="shared" si="0"/>
        <v>36896.670222222223</v>
      </c>
      <c r="W5" s="11">
        <f t="shared" si="0"/>
        <v>22630.003555555555</v>
      </c>
      <c r="X5" s="11">
        <f t="shared" si="0"/>
        <v>11795.95662222222</v>
      </c>
      <c r="Y5" s="11">
        <f t="shared" si="0"/>
        <v>-5096.3100444444462</v>
      </c>
      <c r="Z5" s="11">
        <f t="shared" si="0"/>
        <v>-64076.590044444441</v>
      </c>
      <c r="AA5" s="11">
        <f t="shared" si="0"/>
        <v>-66076.590044444441</v>
      </c>
      <c r="AB5" s="11">
        <f t="shared" si="0"/>
        <v>687133.19995555561</v>
      </c>
      <c r="AC5" s="11">
        <f t="shared" si="0"/>
        <v>-4417.9184888886521</v>
      </c>
      <c r="AD5" s="11">
        <f t="shared" si="0"/>
        <v>-53662.322488888647</v>
      </c>
      <c r="AE5" s="11">
        <f t="shared" si="0"/>
        <v>-56529.522488888644</v>
      </c>
      <c r="AF5" s="11">
        <f t="shared" si="0"/>
        <v>-65676.722488888641</v>
      </c>
      <c r="AG5" s="11">
        <f t="shared" si="0"/>
        <v>-72910.05582222197</v>
      </c>
      <c r="AH5" s="11">
        <f t="shared" si="0"/>
        <v>-81903.755822221967</v>
      </c>
      <c r="AI5" s="11">
        <f t="shared" si="0"/>
        <v>1104095.6541777779</v>
      </c>
      <c r="AJ5" s="11">
        <f t="shared" si="0"/>
        <v>420334.18173333362</v>
      </c>
      <c r="AK5" s="11">
        <f t="shared" si="0"/>
        <v>370270.5317333336</v>
      </c>
      <c r="AL5" s="11">
        <f t="shared" si="0"/>
        <v>93675.871733333624</v>
      </c>
      <c r="AM5" s="11">
        <f t="shared" si="0"/>
        <v>79615.263733333617</v>
      </c>
      <c r="AN5" s="11">
        <f t="shared" si="0"/>
        <v>41381.750133333619</v>
      </c>
      <c r="AO5" s="11">
        <f t="shared" si="0"/>
        <v>27601.216800000286</v>
      </c>
      <c r="AP5" s="11">
        <f t="shared" si="0"/>
        <v>-46073.923199999699</v>
      </c>
      <c r="AQ5" s="11">
        <f t="shared" si="0"/>
        <v>-54099.523199999698</v>
      </c>
      <c r="AR5" s="11">
        <f t="shared" si="0"/>
        <v>-66537.581866666369</v>
      </c>
      <c r="AS5" s="11">
        <f t="shared" si="0"/>
        <v>1047015.9981333335</v>
      </c>
      <c r="AT5" s="11">
        <f t="shared" si="0"/>
        <v>457012.26080000016</v>
      </c>
      <c r="AU5" s="11">
        <f t="shared" si="0"/>
        <v>451762.26080000016</v>
      </c>
      <c r="AV5" s="11">
        <f t="shared" si="0"/>
        <v>310128.77280000015</v>
      </c>
      <c r="AW5" s="11">
        <f t="shared" si="0"/>
        <v>291622.72280000016</v>
      </c>
      <c r="AX5" s="11">
        <f t="shared" si="0"/>
        <v>355622.72280000016</v>
      </c>
      <c r="AY5" s="11">
        <f t="shared" si="0"/>
        <v>324482.30280000018</v>
      </c>
      <c r="AZ5" s="11">
        <f t="shared" si="0"/>
        <v>244547.02280000018</v>
      </c>
      <c r="BA5" s="11">
        <f t="shared" si="0"/>
        <v>235399.82280000017</v>
      </c>
      <c r="BB5" s="11">
        <f t="shared" si="0"/>
        <v>1820086.6128000002</v>
      </c>
      <c r="BC5" s="11">
        <f t="shared" si="0"/>
        <v>1282263.5114666671</v>
      </c>
      <c r="BD5" s="11">
        <f t="shared" si="0"/>
        <v>1226458.711466667</v>
      </c>
      <c r="BE5" s="11">
        <f t="shared" si="0"/>
        <v>1207452.5614666671</v>
      </c>
      <c r="BF5" s="11">
        <f t="shared" si="0"/>
        <v>930857.90146666719</v>
      </c>
      <c r="BG5" s="11">
        <f t="shared" si="0"/>
        <v>922891.05453333387</v>
      </c>
      <c r="BH5" s="11">
        <f t="shared" si="0"/>
        <v>788624.38786666724</v>
      </c>
      <c r="BI5" s="11">
        <f t="shared" si="0"/>
        <v>686799.61786666722</v>
      </c>
      <c r="BJ5" s="11">
        <f t="shared" si="0"/>
        <v>680252.41786666727</v>
      </c>
      <c r="BK5" s="11">
        <f t="shared" si="0"/>
        <v>1610162.6678666673</v>
      </c>
      <c r="BL5" s="11">
        <f t="shared" si="0"/>
        <v>1449005.6545333338</v>
      </c>
      <c r="BM5" s="11">
        <f t="shared" si="0"/>
        <v>1234289.3045333338</v>
      </c>
      <c r="BN5" s="11">
        <f t="shared" si="0"/>
        <v>1232289.3045333338</v>
      </c>
      <c r="BO5" s="11">
        <f t="shared" si="0"/>
        <v>1107334.7845333337</v>
      </c>
      <c r="BP5" s="11">
        <f t="shared" si="0"/>
        <v>1030577.0045333337</v>
      </c>
      <c r="BQ5" s="11">
        <f t="shared" si="0"/>
        <v>1632628.8245333335</v>
      </c>
      <c r="BR5" s="11">
        <f t="shared" ref="BR5:BY5" si="1">BQ8</f>
        <v>1526826.7472000001</v>
      </c>
      <c r="BS5" s="11">
        <f t="shared" si="1"/>
        <v>1513204.3472000002</v>
      </c>
      <c r="BT5" s="11">
        <f t="shared" si="1"/>
        <v>1233204.3472000002</v>
      </c>
      <c r="BU5" s="11">
        <f t="shared" si="1"/>
        <v>1156455.5172000001</v>
      </c>
      <c r="BV5" s="11">
        <f t="shared" si="1"/>
        <v>1471754.3572000002</v>
      </c>
      <c r="BW5" s="11">
        <f t="shared" si="1"/>
        <v>1420357.7798666668</v>
      </c>
      <c r="BX5" s="11">
        <f t="shared" si="1"/>
        <v>1418357.7798666668</v>
      </c>
      <c r="BY5" s="11">
        <f t="shared" si="1"/>
        <v>1331952.0598666668</v>
      </c>
    </row>
    <row r="6" spans="2:78" ht="19.5" x14ac:dyDescent="0.55000000000000004">
      <c r="B6" s="12">
        <f>SUM(D6:BE6)</f>
        <v>5723267.6099999994</v>
      </c>
      <c r="C6" s="13" t="s">
        <v>180</v>
      </c>
      <c r="D6" s="13">
        <f>GETPIVOTDATA("A Pagar ou Receber",$C$11,"Data de Previsão (completa)",D12,"Tipo","1. Contas a Receber")</f>
        <v>0</v>
      </c>
      <c r="E6" s="13">
        <f t="shared" ref="E6:BP6" si="2">GETPIVOTDATA("A Pagar ou Receber",$C$11,"Data de Previsão (completa)",E12,"Tipo","1. Contas a Receber")</f>
        <v>146528.61000000002</v>
      </c>
      <c r="F6" s="13">
        <f t="shared" ref="F6:BQ6" si="3">GETPIVOTDATA("A Pagar ou Receber",$C$11,"Data de Previsão (completa)",F12,"Tipo","1. Contas a Receber")</f>
        <v>0</v>
      </c>
      <c r="G6" s="13">
        <f t="shared" si="3"/>
        <v>0</v>
      </c>
      <c r="H6" s="13">
        <f t="shared" si="3"/>
        <v>0</v>
      </c>
      <c r="I6" s="13">
        <f t="shared" si="3"/>
        <v>0</v>
      </c>
      <c r="J6" s="13">
        <f t="shared" si="3"/>
        <v>0</v>
      </c>
      <c r="K6" s="13">
        <f t="shared" si="3"/>
        <v>0</v>
      </c>
      <c r="L6" s="13">
        <f t="shared" si="3"/>
        <v>0</v>
      </c>
      <c r="M6" s="13">
        <f t="shared" si="3"/>
        <v>0</v>
      </c>
      <c r="N6" s="13">
        <f t="shared" si="3"/>
        <v>0</v>
      </c>
      <c r="O6" s="13">
        <f t="shared" si="3"/>
        <v>0</v>
      </c>
      <c r="P6" s="13">
        <f t="shared" si="3"/>
        <v>0</v>
      </c>
      <c r="Q6" s="13">
        <f t="shared" si="3"/>
        <v>0</v>
      </c>
      <c r="R6" s="13">
        <f t="shared" si="3"/>
        <v>0</v>
      </c>
      <c r="S6" s="13">
        <f t="shared" si="3"/>
        <v>855077.76</v>
      </c>
      <c r="T6" s="13">
        <f t="shared" si="3"/>
        <v>0</v>
      </c>
      <c r="U6" s="13">
        <f t="shared" si="3"/>
        <v>0</v>
      </c>
      <c r="V6" s="13">
        <f t="shared" si="3"/>
        <v>0</v>
      </c>
      <c r="W6" s="13">
        <f t="shared" si="3"/>
        <v>0</v>
      </c>
      <c r="X6" s="13">
        <f t="shared" si="3"/>
        <v>0</v>
      </c>
      <c r="Y6" s="13">
        <f t="shared" si="3"/>
        <v>0</v>
      </c>
      <c r="Z6" s="13">
        <f t="shared" si="3"/>
        <v>0</v>
      </c>
      <c r="AA6" s="13">
        <f t="shared" si="3"/>
        <v>758705.11</v>
      </c>
      <c r="AB6" s="13">
        <f t="shared" si="3"/>
        <v>0</v>
      </c>
      <c r="AC6" s="13">
        <f t="shared" si="3"/>
        <v>0</v>
      </c>
      <c r="AD6" s="13">
        <f t="shared" si="3"/>
        <v>0</v>
      </c>
      <c r="AE6" s="13">
        <f t="shared" si="3"/>
        <v>0</v>
      </c>
      <c r="AF6" s="13">
        <f t="shared" si="3"/>
        <v>0</v>
      </c>
      <c r="AG6" s="13">
        <f t="shared" si="3"/>
        <v>0</v>
      </c>
      <c r="AH6" s="13">
        <f t="shared" si="3"/>
        <v>1185999.4099999999</v>
      </c>
      <c r="AI6" s="13">
        <f t="shared" si="3"/>
        <v>0</v>
      </c>
      <c r="AJ6" s="13">
        <f t="shared" si="3"/>
        <v>0</v>
      </c>
      <c r="AK6" s="13">
        <f t="shared" si="3"/>
        <v>0</v>
      </c>
      <c r="AL6" s="13">
        <f t="shared" si="3"/>
        <v>0</v>
      </c>
      <c r="AM6" s="13">
        <f t="shared" si="3"/>
        <v>0</v>
      </c>
      <c r="AN6" s="13">
        <f t="shared" si="3"/>
        <v>0</v>
      </c>
      <c r="AO6" s="13">
        <f t="shared" si="3"/>
        <v>0</v>
      </c>
      <c r="AP6" s="13">
        <f t="shared" si="3"/>
        <v>0</v>
      </c>
      <c r="AQ6" s="13">
        <f t="shared" si="3"/>
        <v>0</v>
      </c>
      <c r="AR6" s="13">
        <f t="shared" si="3"/>
        <v>1128269.93</v>
      </c>
      <c r="AS6" s="13">
        <f t="shared" si="3"/>
        <v>0</v>
      </c>
      <c r="AT6" s="13">
        <f t="shared" si="3"/>
        <v>0</v>
      </c>
      <c r="AU6" s="13">
        <f t="shared" si="3"/>
        <v>0</v>
      </c>
      <c r="AV6" s="13">
        <f t="shared" si="3"/>
        <v>0</v>
      </c>
      <c r="AW6" s="13">
        <f t="shared" si="3"/>
        <v>64000</v>
      </c>
      <c r="AX6" s="13">
        <f t="shared" si="3"/>
        <v>0</v>
      </c>
      <c r="AY6" s="13">
        <f t="shared" si="3"/>
        <v>0</v>
      </c>
      <c r="AZ6" s="13">
        <f t="shared" si="3"/>
        <v>0</v>
      </c>
      <c r="BA6" s="13">
        <f t="shared" si="3"/>
        <v>1584686.79</v>
      </c>
      <c r="BB6" s="13">
        <f t="shared" si="3"/>
        <v>0</v>
      </c>
      <c r="BC6" s="13">
        <f t="shared" si="3"/>
        <v>0</v>
      </c>
      <c r="BD6" s="13">
        <f t="shared" si="3"/>
        <v>0</v>
      </c>
      <c r="BE6" s="13">
        <f t="shared" si="3"/>
        <v>0</v>
      </c>
      <c r="BF6" s="13">
        <f t="shared" si="3"/>
        <v>0</v>
      </c>
      <c r="BG6" s="13">
        <f t="shared" si="3"/>
        <v>0</v>
      </c>
      <c r="BH6" s="13">
        <f t="shared" si="3"/>
        <v>0</v>
      </c>
      <c r="BI6" s="13">
        <f t="shared" si="3"/>
        <v>0</v>
      </c>
      <c r="BJ6" s="13">
        <f t="shared" si="3"/>
        <v>929910.25</v>
      </c>
      <c r="BK6" s="13">
        <f t="shared" si="3"/>
        <v>0</v>
      </c>
      <c r="BL6" s="13">
        <f t="shared" si="3"/>
        <v>0</v>
      </c>
      <c r="BM6" s="13">
        <f t="shared" si="3"/>
        <v>0</v>
      </c>
      <c r="BN6" s="13">
        <f t="shared" si="3"/>
        <v>0</v>
      </c>
      <c r="BO6" s="13">
        <f t="shared" si="3"/>
        <v>0</v>
      </c>
      <c r="BP6" s="13">
        <f t="shared" si="3"/>
        <v>602051.81999999995</v>
      </c>
      <c r="BQ6" s="13">
        <f t="shared" si="3"/>
        <v>0</v>
      </c>
      <c r="BR6" s="13">
        <f t="shared" ref="BR6:BY6" si="4">GETPIVOTDATA("A Pagar ou Receber",$C$11,"Data de Previsão (completa)",BR12,"Tipo","1. Contas a Receber")</f>
        <v>0</v>
      </c>
      <c r="BS6" s="13">
        <f t="shared" si="4"/>
        <v>0</v>
      </c>
      <c r="BT6" s="13">
        <f t="shared" si="4"/>
        <v>1000</v>
      </c>
      <c r="BU6" s="13">
        <f t="shared" si="4"/>
        <v>315298.84000000003</v>
      </c>
      <c r="BV6" s="13">
        <f t="shared" si="4"/>
        <v>0</v>
      </c>
      <c r="BW6" s="13">
        <f t="shared" si="4"/>
        <v>0</v>
      </c>
      <c r="BX6" s="13">
        <f t="shared" si="4"/>
        <v>0</v>
      </c>
      <c r="BY6" s="13">
        <f t="shared" si="4"/>
        <v>0</v>
      </c>
    </row>
    <row r="7" spans="2:78" ht="19.5" x14ac:dyDescent="0.55000000000000004">
      <c r="B7" s="12">
        <f>SUM(D7:BE7)</f>
        <v>-4897666.4385333341</v>
      </c>
      <c r="C7" s="13" t="s">
        <v>181</v>
      </c>
      <c r="D7" s="13">
        <f>GETPIVOTDATA("A Pagar ou Receber",$C$11,"Data de Previsão (completa)",D12,"Tipo","2. Contas a Pagar")</f>
        <v>0</v>
      </c>
      <c r="E7" s="13">
        <f t="shared" ref="E7:F7" si="5">GETPIVOTDATA("A Pagar ou Receber",$C$11,"Data de Previsão (completa)",E12,"Tipo","2. Contas a Pagar")</f>
        <v>0</v>
      </c>
      <c r="F7" s="13">
        <f t="shared" ref="F7:BQ7" si="6">GETPIVOTDATA("A Pagar ou Receber",$C$11,"Data de Previsão (completa)",F12,"Tipo","2. Contas a Pagar")</f>
        <v>-25600</v>
      </c>
      <c r="G7" s="13">
        <f t="shared" si="6"/>
        <v>-5440</v>
      </c>
      <c r="H7" s="13">
        <f t="shared" si="6"/>
        <v>-2500</v>
      </c>
      <c r="I7" s="13">
        <f t="shared" si="6"/>
        <v>-9000</v>
      </c>
      <c r="J7" s="13">
        <f t="shared" si="6"/>
        <v>-32000</v>
      </c>
      <c r="K7" s="13">
        <f t="shared" si="6"/>
        <v>-32634.400000000001</v>
      </c>
      <c r="L7" s="13">
        <f t="shared" si="6"/>
        <v>-44876.35</v>
      </c>
      <c r="M7" s="13">
        <f t="shared" si="6"/>
        <v>-26000</v>
      </c>
      <c r="N7" s="13">
        <f t="shared" si="6"/>
        <v>-3250</v>
      </c>
      <c r="O7" s="13">
        <f t="shared" si="6"/>
        <v>-35413.17</v>
      </c>
      <c r="P7" s="13">
        <f t="shared" si="6"/>
        <v>-32500</v>
      </c>
      <c r="Q7" s="13">
        <f t="shared" si="6"/>
        <v>-3900</v>
      </c>
      <c r="R7" s="13">
        <f t="shared" si="6"/>
        <v>-3000</v>
      </c>
      <c r="S7" s="13">
        <f t="shared" si="6"/>
        <v>-6544</v>
      </c>
      <c r="T7" s="13">
        <f t="shared" si="6"/>
        <v>-783508.50977777771</v>
      </c>
      <c r="U7" s="13">
        <f t="shared" si="6"/>
        <v>-23800</v>
      </c>
      <c r="V7" s="13">
        <f t="shared" si="6"/>
        <v>-14266.666666666668</v>
      </c>
      <c r="W7" s="13">
        <f t="shared" si="6"/>
        <v>-10834.046933333335</v>
      </c>
      <c r="X7" s="13">
        <f t="shared" si="6"/>
        <v>-16892.266666666666</v>
      </c>
      <c r="Y7" s="13">
        <f t="shared" si="6"/>
        <v>-58980.28</v>
      </c>
      <c r="Z7" s="13">
        <f t="shared" si="6"/>
        <v>-2000</v>
      </c>
      <c r="AA7" s="13">
        <f t="shared" si="6"/>
        <v>-5495.32</v>
      </c>
      <c r="AB7" s="13">
        <f t="shared" si="6"/>
        <v>-691551.11844444426</v>
      </c>
      <c r="AC7" s="13">
        <f t="shared" si="6"/>
        <v>-49244.403999999995</v>
      </c>
      <c r="AD7" s="13">
        <f t="shared" si="6"/>
        <v>-2867.2000000000003</v>
      </c>
      <c r="AE7" s="13">
        <f t="shared" si="6"/>
        <v>-9147.2000000000007</v>
      </c>
      <c r="AF7" s="13">
        <f t="shared" si="6"/>
        <v>-7233.333333333333</v>
      </c>
      <c r="AG7" s="13">
        <f t="shared" si="6"/>
        <v>-8993.7000000000007</v>
      </c>
      <c r="AH7" s="13">
        <f t="shared" si="6"/>
        <v>0</v>
      </c>
      <c r="AI7" s="13">
        <f t="shared" si="6"/>
        <v>-683761.47244444431</v>
      </c>
      <c r="AJ7" s="13">
        <f t="shared" si="6"/>
        <v>-50063.65</v>
      </c>
      <c r="AK7" s="13">
        <f t="shared" si="6"/>
        <v>-276594.65999999997</v>
      </c>
      <c r="AL7" s="13">
        <f t="shared" si="6"/>
        <v>-14060.608</v>
      </c>
      <c r="AM7" s="13">
        <f t="shared" si="6"/>
        <v>-38233.513599999998</v>
      </c>
      <c r="AN7" s="13">
        <f t="shared" si="6"/>
        <v>-13780.533333333333</v>
      </c>
      <c r="AO7" s="13">
        <f t="shared" si="6"/>
        <v>-73675.139999999985</v>
      </c>
      <c r="AP7" s="13">
        <f t="shared" si="6"/>
        <v>-8025.6</v>
      </c>
      <c r="AQ7" s="13">
        <f t="shared" si="6"/>
        <v>-12438.058666666666</v>
      </c>
      <c r="AR7" s="13">
        <f t="shared" si="6"/>
        <v>-14716.35</v>
      </c>
      <c r="AS7" s="13">
        <f t="shared" si="6"/>
        <v>-590003.73733333335</v>
      </c>
      <c r="AT7" s="13">
        <f t="shared" si="6"/>
        <v>-5250</v>
      </c>
      <c r="AU7" s="13">
        <f t="shared" si="6"/>
        <v>-141633.48800000001</v>
      </c>
      <c r="AV7" s="13">
        <f t="shared" si="6"/>
        <v>-18506.05</v>
      </c>
      <c r="AW7" s="13">
        <f t="shared" si="6"/>
        <v>0</v>
      </c>
      <c r="AX7" s="13">
        <f t="shared" si="6"/>
        <v>-31140.42</v>
      </c>
      <c r="AY7" s="13">
        <f t="shared" si="6"/>
        <v>-79935.28</v>
      </c>
      <c r="AZ7" s="13">
        <f t="shared" si="6"/>
        <v>-9147.2000000000007</v>
      </c>
      <c r="BA7" s="13">
        <f t="shared" si="6"/>
        <v>0</v>
      </c>
      <c r="BB7" s="13">
        <f t="shared" si="6"/>
        <v>-537823.1013333333</v>
      </c>
      <c r="BC7" s="13">
        <f t="shared" si="6"/>
        <v>-55804.800000000003</v>
      </c>
      <c r="BD7" s="13">
        <f t="shared" si="6"/>
        <v>-19006.150000000001</v>
      </c>
      <c r="BE7" s="13">
        <f t="shared" si="6"/>
        <v>-276594.65999999997</v>
      </c>
      <c r="BF7" s="13">
        <f t="shared" si="6"/>
        <v>-7966.8469333333342</v>
      </c>
      <c r="BG7" s="13">
        <f t="shared" si="6"/>
        <v>-134266.66666666666</v>
      </c>
      <c r="BH7" s="13">
        <f t="shared" si="6"/>
        <v>-101824.77000000003</v>
      </c>
      <c r="BI7" s="13">
        <f t="shared" si="6"/>
        <v>-6547.2000000000007</v>
      </c>
      <c r="BJ7" s="13">
        <f t="shared" si="6"/>
        <v>0</v>
      </c>
      <c r="BK7" s="13">
        <f t="shared" si="6"/>
        <v>-161157.01333333334</v>
      </c>
      <c r="BL7" s="13">
        <f t="shared" si="6"/>
        <v>-214716.35</v>
      </c>
      <c r="BM7" s="13">
        <f t="shared" si="6"/>
        <v>-2000</v>
      </c>
      <c r="BN7" s="13">
        <f t="shared" si="6"/>
        <v>-124954.52</v>
      </c>
      <c r="BO7" s="13">
        <f t="shared" si="6"/>
        <v>-76757.78</v>
      </c>
      <c r="BP7" s="13">
        <f t="shared" si="6"/>
        <v>0</v>
      </c>
      <c r="BQ7" s="13">
        <f t="shared" si="6"/>
        <v>-105802.07733333332</v>
      </c>
      <c r="BR7" s="13">
        <f t="shared" ref="BR7:BY7" si="7">GETPIVOTDATA("A Pagar ou Receber",$C$11,"Data de Previsão (completa)",BR12,"Tipo","2. Contas a Pagar")</f>
        <v>-13622.4</v>
      </c>
      <c r="BS7" s="13">
        <f t="shared" si="7"/>
        <v>-280000</v>
      </c>
      <c r="BT7" s="13">
        <f t="shared" si="7"/>
        <v>-77748.83</v>
      </c>
      <c r="BU7" s="13">
        <f t="shared" si="7"/>
        <v>0</v>
      </c>
      <c r="BV7" s="13">
        <f t="shared" si="7"/>
        <v>-51396.577333333335</v>
      </c>
      <c r="BW7" s="13">
        <f t="shared" si="7"/>
        <v>-2000</v>
      </c>
      <c r="BX7" s="13">
        <f t="shared" si="7"/>
        <v>-86405.72</v>
      </c>
      <c r="BY7" s="13">
        <f t="shared" si="7"/>
        <v>-30000</v>
      </c>
    </row>
    <row r="8" spans="2:78" ht="19.5" x14ac:dyDescent="0.55000000000000004">
      <c r="B8" s="11">
        <f>SUM(B5:B7)</f>
        <v>930857.90146666486</v>
      </c>
      <c r="C8" s="11" t="s">
        <v>182</v>
      </c>
      <c r="D8" s="11">
        <f>SUM(D5:D7)</f>
        <v>105256.72999999986</v>
      </c>
      <c r="E8" s="11">
        <f t="shared" ref="E8:BP8" si="8">SUM(E5:E7)</f>
        <v>251785.33999999988</v>
      </c>
      <c r="F8" s="11">
        <f t="shared" ref="F8:BQ8" si="9">SUM(F5:F7)</f>
        <v>226185.33999999988</v>
      </c>
      <c r="G8" s="11">
        <f t="shared" si="9"/>
        <v>220745.33999999988</v>
      </c>
      <c r="H8" s="11">
        <f t="shared" si="9"/>
        <v>218245.33999999988</v>
      </c>
      <c r="I8" s="11">
        <f t="shared" si="9"/>
        <v>209245.33999999988</v>
      </c>
      <c r="J8" s="11">
        <f t="shared" si="9"/>
        <v>177245.33999999988</v>
      </c>
      <c r="K8" s="11">
        <f t="shared" si="9"/>
        <v>144610.93999999989</v>
      </c>
      <c r="L8" s="11">
        <f t="shared" si="9"/>
        <v>99734.58999999988</v>
      </c>
      <c r="M8" s="11">
        <f t="shared" si="9"/>
        <v>73734.58999999988</v>
      </c>
      <c r="N8" s="11">
        <f t="shared" si="9"/>
        <v>70484.58999999988</v>
      </c>
      <c r="O8" s="11">
        <f t="shared" si="9"/>
        <v>35071.419999999882</v>
      </c>
      <c r="P8" s="11">
        <f t="shared" si="9"/>
        <v>2571.4199999998818</v>
      </c>
      <c r="Q8" s="11">
        <f t="shared" si="9"/>
        <v>-1328.5800000001182</v>
      </c>
      <c r="R8" s="11">
        <f t="shared" si="9"/>
        <v>-4328.5800000001182</v>
      </c>
      <c r="S8" s="11">
        <f t="shared" si="9"/>
        <v>844205.17999999993</v>
      </c>
      <c r="T8" s="11">
        <f t="shared" si="9"/>
        <v>60696.670222222223</v>
      </c>
      <c r="U8" s="11">
        <f t="shared" si="9"/>
        <v>36896.670222222223</v>
      </c>
      <c r="V8" s="11">
        <f t="shared" si="9"/>
        <v>22630.003555555555</v>
      </c>
      <c r="W8" s="11">
        <f t="shared" si="9"/>
        <v>11795.95662222222</v>
      </c>
      <c r="X8" s="11">
        <f t="shared" si="9"/>
        <v>-5096.3100444444462</v>
      </c>
      <c r="Y8" s="11">
        <f t="shared" si="9"/>
        <v>-64076.590044444441</v>
      </c>
      <c r="Z8" s="11">
        <f t="shared" si="9"/>
        <v>-66076.590044444441</v>
      </c>
      <c r="AA8" s="11">
        <f t="shared" si="9"/>
        <v>687133.19995555561</v>
      </c>
      <c r="AB8" s="11">
        <f t="shared" si="9"/>
        <v>-4417.9184888886521</v>
      </c>
      <c r="AC8" s="11">
        <f t="shared" si="9"/>
        <v>-53662.322488888647</v>
      </c>
      <c r="AD8" s="11">
        <f t="shared" si="9"/>
        <v>-56529.522488888644</v>
      </c>
      <c r="AE8" s="11">
        <f t="shared" si="9"/>
        <v>-65676.722488888641</v>
      </c>
      <c r="AF8" s="11">
        <f t="shared" si="9"/>
        <v>-72910.05582222197</v>
      </c>
      <c r="AG8" s="11">
        <f t="shared" si="9"/>
        <v>-81903.755822221967</v>
      </c>
      <c r="AH8" s="11">
        <f t="shared" si="9"/>
        <v>1104095.6541777779</v>
      </c>
      <c r="AI8" s="11">
        <f t="shared" si="9"/>
        <v>420334.18173333362</v>
      </c>
      <c r="AJ8" s="11">
        <f t="shared" si="9"/>
        <v>370270.5317333336</v>
      </c>
      <c r="AK8" s="11">
        <f t="shared" si="9"/>
        <v>93675.871733333624</v>
      </c>
      <c r="AL8" s="11">
        <f t="shared" si="9"/>
        <v>79615.263733333617</v>
      </c>
      <c r="AM8" s="11">
        <f t="shared" si="9"/>
        <v>41381.750133333619</v>
      </c>
      <c r="AN8" s="11">
        <f t="shared" si="9"/>
        <v>27601.216800000286</v>
      </c>
      <c r="AO8" s="11">
        <f t="shared" si="9"/>
        <v>-46073.923199999699</v>
      </c>
      <c r="AP8" s="11">
        <f t="shared" si="9"/>
        <v>-54099.523199999698</v>
      </c>
      <c r="AQ8" s="11">
        <f t="shared" si="9"/>
        <v>-66537.581866666369</v>
      </c>
      <c r="AR8" s="11">
        <f t="shared" si="9"/>
        <v>1047015.9981333335</v>
      </c>
      <c r="AS8" s="11">
        <f t="shared" si="9"/>
        <v>457012.26080000016</v>
      </c>
      <c r="AT8" s="11">
        <f t="shared" si="9"/>
        <v>451762.26080000016</v>
      </c>
      <c r="AU8" s="11">
        <f t="shared" si="9"/>
        <v>310128.77280000015</v>
      </c>
      <c r="AV8" s="11">
        <f t="shared" si="9"/>
        <v>291622.72280000016</v>
      </c>
      <c r="AW8" s="11">
        <f t="shared" si="9"/>
        <v>355622.72280000016</v>
      </c>
      <c r="AX8" s="11">
        <f t="shared" si="9"/>
        <v>324482.30280000018</v>
      </c>
      <c r="AY8" s="11">
        <f t="shared" si="9"/>
        <v>244547.02280000018</v>
      </c>
      <c r="AZ8" s="11">
        <f t="shared" si="9"/>
        <v>235399.82280000017</v>
      </c>
      <c r="BA8" s="11">
        <f t="shared" si="9"/>
        <v>1820086.6128000002</v>
      </c>
      <c r="BB8" s="11">
        <f t="shared" si="9"/>
        <v>1282263.5114666671</v>
      </c>
      <c r="BC8" s="11">
        <f t="shared" si="9"/>
        <v>1226458.711466667</v>
      </c>
      <c r="BD8" s="11">
        <f t="shared" si="9"/>
        <v>1207452.5614666671</v>
      </c>
      <c r="BE8" s="11">
        <f t="shared" si="9"/>
        <v>930857.90146666719</v>
      </c>
      <c r="BF8" s="11">
        <f t="shared" si="9"/>
        <v>922891.05453333387</v>
      </c>
      <c r="BG8" s="11">
        <f t="shared" si="9"/>
        <v>788624.38786666724</v>
      </c>
      <c r="BH8" s="11">
        <f t="shared" si="9"/>
        <v>686799.61786666722</v>
      </c>
      <c r="BI8" s="11">
        <f t="shared" si="9"/>
        <v>680252.41786666727</v>
      </c>
      <c r="BJ8" s="11">
        <f t="shared" si="9"/>
        <v>1610162.6678666673</v>
      </c>
      <c r="BK8" s="11">
        <f t="shared" si="9"/>
        <v>1449005.6545333338</v>
      </c>
      <c r="BL8" s="11">
        <f t="shared" si="9"/>
        <v>1234289.3045333338</v>
      </c>
      <c r="BM8" s="11">
        <f t="shared" si="9"/>
        <v>1232289.3045333338</v>
      </c>
      <c r="BN8" s="11">
        <f t="shared" si="9"/>
        <v>1107334.7845333337</v>
      </c>
      <c r="BO8" s="11">
        <f t="shared" si="9"/>
        <v>1030577.0045333337</v>
      </c>
      <c r="BP8" s="11">
        <f t="shared" si="9"/>
        <v>1632628.8245333335</v>
      </c>
      <c r="BQ8" s="11">
        <f t="shared" si="9"/>
        <v>1526826.7472000001</v>
      </c>
      <c r="BR8" s="11">
        <f t="shared" ref="BR8:BY8" si="10">SUM(BR5:BR7)</f>
        <v>1513204.3472000002</v>
      </c>
      <c r="BS8" s="11">
        <f t="shared" si="10"/>
        <v>1233204.3472000002</v>
      </c>
      <c r="BT8" s="11">
        <f t="shared" si="10"/>
        <v>1156455.5172000001</v>
      </c>
      <c r="BU8" s="11">
        <f t="shared" si="10"/>
        <v>1471754.3572000002</v>
      </c>
      <c r="BV8" s="11">
        <f t="shared" si="10"/>
        <v>1420357.7798666668</v>
      </c>
      <c r="BW8" s="11">
        <f t="shared" si="10"/>
        <v>1418357.7798666668</v>
      </c>
      <c r="BX8" s="11">
        <f t="shared" si="10"/>
        <v>1331952.0598666668</v>
      </c>
      <c r="BY8" s="11">
        <f t="shared" si="10"/>
        <v>1301952.0598666668</v>
      </c>
    </row>
    <row r="11" spans="2:78" x14ac:dyDescent="0.25">
      <c r="C11" s="2" t="s">
        <v>183</v>
      </c>
      <c r="D11" s="2" t="s">
        <v>60</v>
      </c>
    </row>
    <row r="12" spans="2:78" x14ac:dyDescent="0.25">
      <c r="C12" s="2" t="s">
        <v>63</v>
      </c>
      <c r="D12" s="1">
        <v>46098</v>
      </c>
      <c r="E12" s="1">
        <v>46099</v>
      </c>
      <c r="F12" s="1">
        <v>46101</v>
      </c>
      <c r="G12" s="1">
        <v>46106</v>
      </c>
      <c r="H12" s="1">
        <v>46108</v>
      </c>
      <c r="I12" s="1">
        <v>46113</v>
      </c>
      <c r="J12" s="1">
        <v>46117</v>
      </c>
      <c r="K12" s="1">
        <v>46118</v>
      </c>
      <c r="L12" s="1">
        <v>46120</v>
      </c>
      <c r="M12" s="1">
        <v>46122</v>
      </c>
      <c r="N12" s="1">
        <v>46123</v>
      </c>
      <c r="O12" s="1">
        <v>46129</v>
      </c>
      <c r="P12" s="1">
        <v>46132</v>
      </c>
      <c r="Q12" s="1">
        <v>46133</v>
      </c>
      <c r="R12" s="1">
        <v>46136</v>
      </c>
      <c r="S12" s="1">
        <v>46139</v>
      </c>
      <c r="T12" s="1">
        <v>46140</v>
      </c>
      <c r="U12" s="1">
        <v>46142</v>
      </c>
      <c r="V12" s="1">
        <v>46143</v>
      </c>
      <c r="W12" s="1">
        <v>46146</v>
      </c>
      <c r="X12" s="1">
        <v>46148</v>
      </c>
      <c r="Y12" s="1">
        <v>46150</v>
      </c>
      <c r="Z12" s="1">
        <v>46152</v>
      </c>
      <c r="AA12" s="1">
        <v>46153</v>
      </c>
      <c r="AB12" s="1">
        <v>46154</v>
      </c>
      <c r="AC12" s="1">
        <v>46159</v>
      </c>
      <c r="AD12" s="1">
        <v>46160</v>
      </c>
      <c r="AE12" s="1">
        <v>46162</v>
      </c>
      <c r="AF12" s="1">
        <v>46163</v>
      </c>
      <c r="AG12" s="1">
        <v>46164</v>
      </c>
      <c r="AH12" s="1">
        <v>46167</v>
      </c>
      <c r="AI12" s="1">
        <v>46168</v>
      </c>
      <c r="AJ12" s="1">
        <v>46169</v>
      </c>
      <c r="AK12" s="1">
        <v>46170</v>
      </c>
      <c r="AL12" s="1">
        <v>46171</v>
      </c>
      <c r="AM12" s="1">
        <v>46174</v>
      </c>
      <c r="AN12" s="1">
        <v>46177</v>
      </c>
      <c r="AO12" s="1">
        <v>46178</v>
      </c>
      <c r="AP12" s="1">
        <v>46179</v>
      </c>
      <c r="AQ12" s="1">
        <v>46180</v>
      </c>
      <c r="AR12" s="1">
        <v>46181</v>
      </c>
      <c r="AS12" s="1">
        <v>46182</v>
      </c>
      <c r="AT12" s="1">
        <v>46183</v>
      </c>
      <c r="AU12" s="1">
        <v>46184</v>
      </c>
      <c r="AV12" s="1">
        <v>46185</v>
      </c>
      <c r="AW12" s="1">
        <v>46188</v>
      </c>
      <c r="AX12" s="1">
        <v>46190</v>
      </c>
      <c r="AY12" s="1">
        <v>46192</v>
      </c>
      <c r="AZ12" s="1">
        <v>46193</v>
      </c>
      <c r="BA12" s="1">
        <v>46195</v>
      </c>
      <c r="BB12" s="1">
        <v>46196</v>
      </c>
      <c r="BC12" s="1">
        <v>46199</v>
      </c>
      <c r="BD12" s="1">
        <v>46200</v>
      </c>
      <c r="BE12" s="1">
        <v>46201</v>
      </c>
      <c r="BF12" s="1">
        <v>46202</v>
      </c>
      <c r="BG12" s="1">
        <v>46204</v>
      </c>
      <c r="BH12" s="1">
        <v>46206</v>
      </c>
      <c r="BI12" s="1">
        <v>46207</v>
      </c>
      <c r="BJ12" s="1">
        <v>46209</v>
      </c>
      <c r="BK12" s="1">
        <v>46210</v>
      </c>
      <c r="BL12" s="1">
        <v>46211</v>
      </c>
      <c r="BM12" s="1">
        <v>46213</v>
      </c>
      <c r="BN12" s="1">
        <v>46214</v>
      </c>
      <c r="BO12" s="1">
        <v>46220</v>
      </c>
      <c r="BP12" s="1">
        <v>46223</v>
      </c>
      <c r="BQ12" s="1">
        <v>46224</v>
      </c>
      <c r="BR12" s="1">
        <v>46229</v>
      </c>
      <c r="BS12" s="1">
        <v>46230</v>
      </c>
      <c r="BT12" s="1">
        <v>46234</v>
      </c>
      <c r="BU12" s="1">
        <v>46237</v>
      </c>
      <c r="BV12" s="1">
        <v>46238</v>
      </c>
      <c r="BW12" s="1">
        <v>46244</v>
      </c>
      <c r="BX12" s="1">
        <v>46245</v>
      </c>
      <c r="BY12" s="1">
        <v>46251</v>
      </c>
      <c r="BZ12" s="1" t="s">
        <v>61</v>
      </c>
    </row>
    <row r="13" spans="2:78" x14ac:dyDescent="0.25">
      <c r="C13" s="3" t="s">
        <v>19</v>
      </c>
      <c r="D13" s="15"/>
      <c r="E13" s="15">
        <v>146528.61000000002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855077.76</v>
      </c>
      <c r="T13" s="15"/>
      <c r="U13" s="15"/>
      <c r="V13" s="15"/>
      <c r="W13" s="15"/>
      <c r="X13" s="15"/>
      <c r="Y13" s="15"/>
      <c r="Z13" s="15"/>
      <c r="AA13" s="15">
        <v>758705.11</v>
      </c>
      <c r="AB13" s="15"/>
      <c r="AC13" s="15"/>
      <c r="AD13" s="15"/>
      <c r="AE13" s="15"/>
      <c r="AF13" s="15"/>
      <c r="AG13" s="15"/>
      <c r="AH13" s="15">
        <v>1185999.4099999999</v>
      </c>
      <c r="AI13" s="15"/>
      <c r="AJ13" s="15"/>
      <c r="AK13" s="15"/>
      <c r="AL13" s="15"/>
      <c r="AM13" s="15"/>
      <c r="AN13" s="15"/>
      <c r="AO13" s="15"/>
      <c r="AP13" s="15"/>
      <c r="AQ13" s="15"/>
      <c r="AR13" s="15">
        <v>1128269.93</v>
      </c>
      <c r="AS13" s="15"/>
      <c r="AT13" s="15"/>
      <c r="AU13" s="15"/>
      <c r="AV13" s="15"/>
      <c r="AW13" s="15">
        <v>64000</v>
      </c>
      <c r="AX13" s="15"/>
      <c r="AY13" s="15"/>
      <c r="AZ13" s="15"/>
      <c r="BA13" s="15">
        <v>1584686.79</v>
      </c>
      <c r="BB13" s="15"/>
      <c r="BC13" s="15"/>
      <c r="BD13" s="15"/>
      <c r="BE13" s="15"/>
      <c r="BF13" s="15"/>
      <c r="BG13" s="15"/>
      <c r="BH13" s="15"/>
      <c r="BI13" s="15"/>
      <c r="BJ13" s="15">
        <v>929910.25</v>
      </c>
      <c r="BK13" s="15"/>
      <c r="BL13" s="15"/>
      <c r="BM13" s="15"/>
      <c r="BN13" s="15"/>
      <c r="BO13" s="15"/>
      <c r="BP13" s="15">
        <v>602051.81999999995</v>
      </c>
      <c r="BQ13" s="15"/>
      <c r="BR13" s="15"/>
      <c r="BS13" s="15"/>
      <c r="BT13" s="15">
        <v>1000</v>
      </c>
      <c r="BU13" s="15">
        <v>315298.84000000003</v>
      </c>
      <c r="BV13" s="15"/>
      <c r="BW13" s="15"/>
      <c r="BX13" s="15"/>
      <c r="BY13" s="15"/>
      <c r="BZ13" s="15">
        <v>7571528.5200000005</v>
      </c>
    </row>
    <row r="14" spans="2:78" x14ac:dyDescent="0.25">
      <c r="C14" s="5" t="s">
        <v>168</v>
      </c>
      <c r="D14" s="15"/>
      <c r="E14" s="15">
        <v>4100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>
        <v>64000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>
        <v>1000</v>
      </c>
      <c r="BU14" s="15"/>
      <c r="BV14" s="15"/>
      <c r="BW14" s="15"/>
      <c r="BX14" s="15"/>
      <c r="BY14" s="15"/>
      <c r="BZ14" s="15">
        <v>69100</v>
      </c>
    </row>
    <row r="15" spans="2:78" x14ac:dyDescent="0.25">
      <c r="C15" s="5" t="s">
        <v>305</v>
      </c>
      <c r="D15" s="51"/>
      <c r="E15" s="51">
        <v>142428.61000000002</v>
      </c>
      <c r="F15" s="51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>
        <v>142428.61000000002</v>
      </c>
    </row>
    <row r="16" spans="2:78" x14ac:dyDescent="0.25">
      <c r="C16" s="5" t="s">
        <v>165</v>
      </c>
      <c r="D16" s="51"/>
      <c r="E16" s="51"/>
      <c r="F16" s="51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855077.76</v>
      </c>
      <c r="T16" s="15"/>
      <c r="U16" s="15"/>
      <c r="V16" s="15"/>
      <c r="W16" s="15"/>
      <c r="X16" s="15"/>
      <c r="Y16" s="15"/>
      <c r="Z16" s="15"/>
      <c r="AA16" s="15">
        <v>758705.11</v>
      </c>
      <c r="AB16" s="15"/>
      <c r="AC16" s="15"/>
      <c r="AD16" s="15"/>
      <c r="AE16" s="15"/>
      <c r="AF16" s="15"/>
      <c r="AG16" s="15"/>
      <c r="AH16" s="15">
        <v>1185999.4099999999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>
        <v>1128269.93</v>
      </c>
      <c r="AS16" s="15"/>
      <c r="AT16" s="15"/>
      <c r="AU16" s="15"/>
      <c r="AV16" s="15"/>
      <c r="AW16" s="15"/>
      <c r="AX16" s="15"/>
      <c r="AY16" s="15"/>
      <c r="AZ16" s="15"/>
      <c r="BA16" s="15">
        <v>1584686.79</v>
      </c>
      <c r="BB16" s="15"/>
      <c r="BC16" s="15"/>
      <c r="BD16" s="15"/>
      <c r="BE16" s="15"/>
      <c r="BF16" s="15"/>
      <c r="BG16" s="15"/>
      <c r="BH16" s="15"/>
      <c r="BI16" s="15"/>
      <c r="BJ16" s="15">
        <v>929910.25</v>
      </c>
      <c r="BK16" s="15"/>
      <c r="BL16" s="15"/>
      <c r="BM16" s="15"/>
      <c r="BN16" s="15"/>
      <c r="BO16" s="15"/>
      <c r="BP16" s="15">
        <v>602051.81999999995</v>
      </c>
      <c r="BQ16" s="15"/>
      <c r="BR16" s="15"/>
      <c r="BS16" s="15"/>
      <c r="BT16" s="15"/>
      <c r="BU16" s="15">
        <v>315298.84000000003</v>
      </c>
      <c r="BV16" s="15"/>
      <c r="BW16" s="15"/>
      <c r="BX16" s="15"/>
      <c r="BY16" s="15"/>
      <c r="BZ16" s="15">
        <v>7359999.9100000001</v>
      </c>
    </row>
    <row r="17" spans="3:78" x14ac:dyDescent="0.25">
      <c r="C17" s="3" t="s">
        <v>27</v>
      </c>
      <c r="D17" s="15">
        <v>0</v>
      </c>
      <c r="E17" s="15"/>
      <c r="F17" s="15">
        <v>-25600</v>
      </c>
      <c r="G17" s="15">
        <v>-5440</v>
      </c>
      <c r="H17" s="15">
        <v>-2500</v>
      </c>
      <c r="I17" s="15">
        <v>-9000</v>
      </c>
      <c r="J17" s="15">
        <v>-32000</v>
      </c>
      <c r="K17" s="15">
        <v>-32634.400000000001</v>
      </c>
      <c r="L17" s="15">
        <v>-44876.35</v>
      </c>
      <c r="M17" s="15">
        <v>-26000</v>
      </c>
      <c r="N17" s="15">
        <v>-3250</v>
      </c>
      <c r="O17" s="15">
        <v>-35413.17</v>
      </c>
      <c r="P17" s="15">
        <v>-32500</v>
      </c>
      <c r="Q17" s="15">
        <v>-3900</v>
      </c>
      <c r="R17" s="15">
        <v>-3000</v>
      </c>
      <c r="S17" s="15">
        <v>-6544</v>
      </c>
      <c r="T17" s="15">
        <v>-783508.50977777771</v>
      </c>
      <c r="U17" s="15">
        <v>-23800</v>
      </c>
      <c r="V17" s="15">
        <v>-14266.666666666668</v>
      </c>
      <c r="W17" s="15">
        <v>-10834.046933333335</v>
      </c>
      <c r="X17" s="15">
        <v>-16892.266666666666</v>
      </c>
      <c r="Y17" s="15">
        <v>-58980.28</v>
      </c>
      <c r="Z17" s="15">
        <v>-2000</v>
      </c>
      <c r="AA17" s="15">
        <v>-5495.32</v>
      </c>
      <c r="AB17" s="15">
        <v>-691551.11844444426</v>
      </c>
      <c r="AC17" s="15">
        <v>-49244.403999999995</v>
      </c>
      <c r="AD17" s="15">
        <v>-2867.2000000000003</v>
      </c>
      <c r="AE17" s="15">
        <v>-9147.2000000000007</v>
      </c>
      <c r="AF17" s="15">
        <v>-7233.333333333333</v>
      </c>
      <c r="AG17" s="15">
        <v>-8993.7000000000007</v>
      </c>
      <c r="AH17" s="15"/>
      <c r="AI17" s="15">
        <v>-683761.47244444431</v>
      </c>
      <c r="AJ17" s="15">
        <v>-50063.65</v>
      </c>
      <c r="AK17" s="15">
        <v>-276594.65999999997</v>
      </c>
      <c r="AL17" s="15">
        <v>-14060.608</v>
      </c>
      <c r="AM17" s="15">
        <v>-38233.513599999998</v>
      </c>
      <c r="AN17" s="15">
        <v>-13780.533333333333</v>
      </c>
      <c r="AO17" s="15">
        <v>-73675.139999999985</v>
      </c>
      <c r="AP17" s="15">
        <v>-8025.6</v>
      </c>
      <c r="AQ17" s="15">
        <v>-12438.058666666666</v>
      </c>
      <c r="AR17" s="15">
        <v>-14716.35</v>
      </c>
      <c r="AS17" s="15">
        <v>-590003.73733333335</v>
      </c>
      <c r="AT17" s="15">
        <v>-5250</v>
      </c>
      <c r="AU17" s="15">
        <v>-141633.48800000001</v>
      </c>
      <c r="AV17" s="15">
        <v>-18506.05</v>
      </c>
      <c r="AW17" s="15"/>
      <c r="AX17" s="15">
        <v>-31140.42</v>
      </c>
      <c r="AY17" s="15">
        <v>-79935.28</v>
      </c>
      <c r="AZ17" s="15">
        <v>-9147.2000000000007</v>
      </c>
      <c r="BA17" s="15"/>
      <c r="BB17" s="15">
        <v>-537823.1013333333</v>
      </c>
      <c r="BC17" s="15">
        <v>-55804.800000000003</v>
      </c>
      <c r="BD17" s="15">
        <v>-19006.150000000001</v>
      </c>
      <c r="BE17" s="15">
        <v>-276594.65999999997</v>
      </c>
      <c r="BF17" s="15">
        <v>-7966.8469333333342</v>
      </c>
      <c r="BG17" s="15">
        <v>-134266.66666666666</v>
      </c>
      <c r="BH17" s="15">
        <v>-101824.77000000003</v>
      </c>
      <c r="BI17" s="15">
        <v>-6547.2000000000007</v>
      </c>
      <c r="BJ17" s="15"/>
      <c r="BK17" s="15">
        <v>-161157.01333333334</v>
      </c>
      <c r="BL17" s="15">
        <v>-214716.35</v>
      </c>
      <c r="BM17" s="15">
        <v>-2000</v>
      </c>
      <c r="BN17" s="15">
        <v>-124954.52</v>
      </c>
      <c r="BO17" s="15">
        <v>-76757.78</v>
      </c>
      <c r="BP17" s="15"/>
      <c r="BQ17" s="15">
        <v>-105802.07733333332</v>
      </c>
      <c r="BR17" s="15">
        <v>-13622.4</v>
      </c>
      <c r="BS17" s="15">
        <v>-280000</v>
      </c>
      <c r="BT17" s="15">
        <v>-77748.83</v>
      </c>
      <c r="BU17" s="15"/>
      <c r="BV17" s="15">
        <v>-51396.577333333335</v>
      </c>
      <c r="BW17" s="15">
        <v>-2000</v>
      </c>
      <c r="BX17" s="15">
        <v>-86405.72</v>
      </c>
      <c r="BY17" s="15">
        <v>-30000</v>
      </c>
      <c r="BZ17" s="15">
        <v>-6374833.1901333313</v>
      </c>
    </row>
    <row r="18" spans="3:78" x14ac:dyDescent="0.25">
      <c r="C18" s="5" t="s">
        <v>172</v>
      </c>
      <c r="D18" s="15"/>
      <c r="E18" s="15"/>
      <c r="F18" s="15"/>
      <c r="G18" s="15"/>
      <c r="H18" s="15"/>
      <c r="I18" s="15"/>
      <c r="J18" s="15"/>
      <c r="K18" s="15">
        <v>-26534.400000000001</v>
      </c>
      <c r="L18" s="15"/>
      <c r="M18" s="15">
        <v>-26000</v>
      </c>
      <c r="N18" s="15">
        <v>-3250</v>
      </c>
      <c r="O18" s="15"/>
      <c r="P18" s="15"/>
      <c r="Q18" s="15"/>
      <c r="R18" s="15">
        <v>-3000</v>
      </c>
      <c r="S18" s="15"/>
      <c r="T18" s="15">
        <v>-16100</v>
      </c>
      <c r="U18" s="15"/>
      <c r="V18" s="15"/>
      <c r="W18" s="15"/>
      <c r="X18" s="15"/>
      <c r="Y18" s="15"/>
      <c r="Z18" s="15">
        <v>-2000</v>
      </c>
      <c r="AA18" s="15">
        <v>-5495.32</v>
      </c>
      <c r="AB18" s="15">
        <v>-72430</v>
      </c>
      <c r="AC18" s="15"/>
      <c r="AD18" s="15"/>
      <c r="AE18" s="15"/>
      <c r="AF18" s="15"/>
      <c r="AG18" s="15">
        <v>-3000</v>
      </c>
      <c r="AH18" s="15"/>
      <c r="AI18" s="15">
        <v>-13335</v>
      </c>
      <c r="AJ18" s="15"/>
      <c r="AK18" s="15"/>
      <c r="AL18" s="15"/>
      <c r="AM18" s="15">
        <v>-16000</v>
      </c>
      <c r="AN18" s="15"/>
      <c r="AO18" s="15"/>
      <c r="AP18" s="15"/>
      <c r="AQ18" s="15"/>
      <c r="AR18" s="15"/>
      <c r="AS18" s="15">
        <v>-44075</v>
      </c>
      <c r="AT18" s="15">
        <v>-5250</v>
      </c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>
        <v>-29000</v>
      </c>
      <c r="BL18" s="15"/>
      <c r="BM18" s="15">
        <v>-2000</v>
      </c>
      <c r="BN18" s="15"/>
      <c r="BO18" s="15"/>
      <c r="BP18" s="15"/>
      <c r="BQ18" s="15"/>
      <c r="BR18" s="15"/>
      <c r="BS18" s="15"/>
      <c r="BT18" s="15"/>
      <c r="BU18" s="15"/>
      <c r="BV18" s="15"/>
      <c r="BW18" s="15">
        <v>-2000</v>
      </c>
      <c r="BX18" s="15"/>
      <c r="BY18" s="15"/>
      <c r="BZ18" s="15">
        <v>-269469.71999999997</v>
      </c>
    </row>
    <row r="19" spans="3:78" x14ac:dyDescent="0.25">
      <c r="C19" s="6" t="s">
        <v>38</v>
      </c>
      <c r="D19" s="15"/>
      <c r="E19" s="15"/>
      <c r="F19" s="15"/>
      <c r="G19" s="15"/>
      <c r="H19" s="15"/>
      <c r="I19" s="15"/>
      <c r="J19" s="15"/>
      <c r="K19" s="15">
        <v>-26534.400000000001</v>
      </c>
      <c r="L19" s="15"/>
      <c r="M19" s="15"/>
      <c r="N19" s="15"/>
      <c r="O19" s="15"/>
      <c r="P19" s="15"/>
      <c r="Q19" s="15"/>
      <c r="R19" s="15"/>
      <c r="S19" s="15"/>
      <c r="T19" s="15">
        <v>-16100</v>
      </c>
      <c r="U19" s="15"/>
      <c r="V19" s="15"/>
      <c r="W19" s="15"/>
      <c r="X19" s="15"/>
      <c r="Y19" s="15"/>
      <c r="Z19" s="15"/>
      <c r="AA19" s="15">
        <v>-2245.3200000000002</v>
      </c>
      <c r="AB19" s="15">
        <v>-40430</v>
      </c>
      <c r="AC19" s="15"/>
      <c r="AD19" s="15"/>
      <c r="AE19" s="15"/>
      <c r="AF19" s="15"/>
      <c r="AG19" s="15"/>
      <c r="AH19" s="15"/>
      <c r="AI19" s="15">
        <v>-13335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>
        <v>-12075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>
        <v>-110719.72</v>
      </c>
    </row>
    <row r="20" spans="3:78" x14ac:dyDescent="0.25">
      <c r="C20" s="6" t="s">
        <v>142</v>
      </c>
      <c r="D20" s="15"/>
      <c r="E20" s="15"/>
      <c r="F20" s="15"/>
      <c r="G20" s="15"/>
      <c r="H20" s="15"/>
      <c r="I20" s="15"/>
      <c r="J20" s="15"/>
      <c r="K20" s="15"/>
      <c r="L20" s="15"/>
      <c r="M20" s="15">
        <v>-26000</v>
      </c>
      <c r="N20" s="15">
        <v>-3250</v>
      </c>
      <c r="O20" s="15"/>
      <c r="P20" s="15"/>
      <c r="Q20" s="15"/>
      <c r="R20" s="15">
        <v>-3000</v>
      </c>
      <c r="S20" s="15"/>
      <c r="T20" s="15"/>
      <c r="U20" s="15"/>
      <c r="V20" s="15"/>
      <c r="W20" s="15"/>
      <c r="X20" s="15"/>
      <c r="Y20" s="15"/>
      <c r="Z20" s="15">
        <v>-2000</v>
      </c>
      <c r="AA20" s="15">
        <v>-3250</v>
      </c>
      <c r="AB20" s="15">
        <v>-32000</v>
      </c>
      <c r="AC20" s="15"/>
      <c r="AD20" s="15"/>
      <c r="AE20" s="15"/>
      <c r="AF20" s="15"/>
      <c r="AG20" s="15">
        <v>-3000</v>
      </c>
      <c r="AH20" s="15"/>
      <c r="AI20" s="15"/>
      <c r="AJ20" s="15"/>
      <c r="AK20" s="15"/>
      <c r="AL20" s="15"/>
      <c r="AM20" s="15">
        <v>-16000</v>
      </c>
      <c r="AN20" s="15"/>
      <c r="AO20" s="15"/>
      <c r="AP20" s="15"/>
      <c r="AQ20" s="15"/>
      <c r="AR20" s="15"/>
      <c r="AS20" s="15">
        <v>-32000</v>
      </c>
      <c r="AT20" s="15">
        <v>-5250</v>
      </c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>
        <v>-29000</v>
      </c>
      <c r="BL20" s="15"/>
      <c r="BM20" s="15">
        <v>-2000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>
        <v>-2000</v>
      </c>
      <c r="BX20" s="15"/>
      <c r="BY20" s="15"/>
      <c r="BZ20" s="15">
        <v>-158750</v>
      </c>
    </row>
    <row r="21" spans="3:78" x14ac:dyDescent="0.25">
      <c r="C21" s="14" t="s">
        <v>26</v>
      </c>
      <c r="D21" s="15"/>
      <c r="E21" s="15"/>
      <c r="F21" s="15"/>
      <c r="G21" s="15"/>
      <c r="H21" s="15"/>
      <c r="I21" s="15"/>
      <c r="J21" s="15"/>
      <c r="K21" s="15"/>
      <c r="L21" s="15"/>
      <c r="M21" s="15">
        <v>-10000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>
        <v>-10000</v>
      </c>
    </row>
    <row r="22" spans="3:78" x14ac:dyDescent="0.25">
      <c r="C22" s="14" t="s">
        <v>277</v>
      </c>
      <c r="D22" s="15"/>
      <c r="E22" s="15"/>
      <c r="F22" s="15"/>
      <c r="G22" s="15"/>
      <c r="H22" s="15"/>
      <c r="I22" s="15"/>
      <c r="J22" s="15"/>
      <c r="K22" s="15"/>
      <c r="L22" s="15"/>
      <c r="M22" s="15">
        <v>-2000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>
        <v>-2000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>
        <v>-2000</v>
      </c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>
        <v>-2000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>
        <v>-2000</v>
      </c>
      <c r="BX22" s="15"/>
      <c r="BY22" s="15"/>
      <c r="BZ22" s="15">
        <v>-10000</v>
      </c>
    </row>
    <row r="23" spans="3:78" x14ac:dyDescent="0.25">
      <c r="C23" s="14" t="s">
        <v>279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>
        <v>-3250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-3250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>
        <v>-3250</v>
      </c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>
        <v>-9750</v>
      </c>
    </row>
    <row r="24" spans="3:78" x14ac:dyDescent="0.25">
      <c r="C24" s="14" t="s">
        <v>184</v>
      </c>
      <c r="D24" s="15"/>
      <c r="E24" s="15"/>
      <c r="F24" s="15"/>
      <c r="G24" s="15"/>
      <c r="H24" s="15"/>
      <c r="I24" s="15"/>
      <c r="J24" s="15"/>
      <c r="K24" s="15"/>
      <c r="L24" s="15"/>
      <c r="M24" s="15">
        <v>-14000</v>
      </c>
      <c r="N24" s="15"/>
      <c r="O24" s="15"/>
      <c r="P24" s="15"/>
      <c r="Q24" s="15"/>
      <c r="R24" s="15">
        <v>-3000</v>
      </c>
      <c r="S24" s="15"/>
      <c r="T24" s="15"/>
      <c r="U24" s="15"/>
      <c r="V24" s="15"/>
      <c r="W24" s="15"/>
      <c r="X24" s="15"/>
      <c r="Y24" s="15"/>
      <c r="Z24" s="15"/>
      <c r="AA24" s="15"/>
      <c r="AB24" s="15">
        <v>-32000</v>
      </c>
      <c r="AC24" s="15"/>
      <c r="AD24" s="15"/>
      <c r="AE24" s="15"/>
      <c r="AF24" s="15"/>
      <c r="AG24" s="15">
        <v>-3000</v>
      </c>
      <c r="AH24" s="15"/>
      <c r="AI24" s="15"/>
      <c r="AJ24" s="15"/>
      <c r="AK24" s="15"/>
      <c r="AL24" s="15"/>
      <c r="AM24" s="15">
        <v>-16000</v>
      </c>
      <c r="AN24" s="15"/>
      <c r="AO24" s="15"/>
      <c r="AP24" s="15"/>
      <c r="AQ24" s="15"/>
      <c r="AR24" s="15"/>
      <c r="AS24" s="15">
        <v>-32000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>
        <v>-29000</v>
      </c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>
        <v>-129000</v>
      </c>
    </row>
    <row r="25" spans="3:78" x14ac:dyDescent="0.25">
      <c r="C25" s="5" t="s">
        <v>173</v>
      </c>
      <c r="D25" s="15"/>
      <c r="E25" s="15"/>
      <c r="F25" s="15"/>
      <c r="G25" s="15"/>
      <c r="H25" s="15"/>
      <c r="I25" s="15">
        <v>-9000</v>
      </c>
      <c r="J25" s="15"/>
      <c r="K25" s="15"/>
      <c r="L25" s="15">
        <v>-14716.35</v>
      </c>
      <c r="M25" s="15"/>
      <c r="N25" s="15"/>
      <c r="O25" s="15">
        <v>-30000</v>
      </c>
      <c r="P25" s="15"/>
      <c r="Q25" s="15"/>
      <c r="R25" s="15"/>
      <c r="S25" s="15"/>
      <c r="T25" s="15"/>
      <c r="U25" s="15"/>
      <c r="V25" s="15">
        <v>-9600</v>
      </c>
      <c r="W25" s="15"/>
      <c r="X25" s="15"/>
      <c r="Y25" s="15">
        <v>-14716.35</v>
      </c>
      <c r="Z25" s="15"/>
      <c r="AA25" s="15"/>
      <c r="AB25" s="15"/>
      <c r="AC25" s="15">
        <v>-30000</v>
      </c>
      <c r="AD25" s="15"/>
      <c r="AE25" s="15"/>
      <c r="AF25" s="15"/>
      <c r="AG25" s="15"/>
      <c r="AH25" s="15"/>
      <c r="AI25" s="15"/>
      <c r="AJ25" s="15">
        <v>-19006.150000000001</v>
      </c>
      <c r="AK25" s="15"/>
      <c r="AL25" s="15"/>
      <c r="AM25" s="15">
        <v>-9600</v>
      </c>
      <c r="AN25" s="15"/>
      <c r="AO25" s="15"/>
      <c r="AP25" s="15"/>
      <c r="AQ25" s="15"/>
      <c r="AR25" s="15">
        <v>-14716.35</v>
      </c>
      <c r="AS25" s="15"/>
      <c r="AT25" s="15"/>
      <c r="AU25" s="15"/>
      <c r="AV25" s="15"/>
      <c r="AW25" s="15"/>
      <c r="AX25" s="15">
        <v>-30000</v>
      </c>
      <c r="AY25" s="15"/>
      <c r="AZ25" s="15"/>
      <c r="BA25" s="15"/>
      <c r="BB25" s="15"/>
      <c r="BC25" s="15"/>
      <c r="BD25" s="15">
        <v>-19006.150000000001</v>
      </c>
      <c r="BE25" s="15"/>
      <c r="BF25" s="15"/>
      <c r="BG25" s="15">
        <v>-129600</v>
      </c>
      <c r="BH25" s="15"/>
      <c r="BI25" s="15"/>
      <c r="BJ25" s="15"/>
      <c r="BK25" s="15"/>
      <c r="BL25" s="15">
        <v>-214716.35</v>
      </c>
      <c r="BM25" s="15"/>
      <c r="BN25" s="15"/>
      <c r="BO25" s="15">
        <v>-30000</v>
      </c>
      <c r="BP25" s="15"/>
      <c r="BQ25" s="15"/>
      <c r="BR25" s="15"/>
      <c r="BS25" s="15">
        <v>-280000</v>
      </c>
      <c r="BT25" s="15"/>
      <c r="BU25" s="15"/>
      <c r="BV25" s="15"/>
      <c r="BW25" s="15"/>
      <c r="BX25" s="15"/>
      <c r="BY25" s="15">
        <v>-30000</v>
      </c>
      <c r="BZ25" s="15">
        <v>-884677.7</v>
      </c>
    </row>
    <row r="26" spans="3:78" x14ac:dyDescent="0.25">
      <c r="C26" s="6" t="s">
        <v>49</v>
      </c>
      <c r="D26" s="15"/>
      <c r="E26" s="15"/>
      <c r="F26" s="15"/>
      <c r="G26" s="15"/>
      <c r="H26" s="15"/>
      <c r="I26" s="15">
        <v>-9000</v>
      </c>
      <c r="J26" s="15"/>
      <c r="K26" s="15"/>
      <c r="L26" s="15">
        <v>-14716.35</v>
      </c>
      <c r="M26" s="15"/>
      <c r="N26" s="15"/>
      <c r="O26" s="48">
        <v>-30000</v>
      </c>
      <c r="P26" s="15"/>
      <c r="Q26" s="15"/>
      <c r="R26" s="15"/>
      <c r="S26" s="15"/>
      <c r="T26" s="15"/>
      <c r="U26" s="15"/>
      <c r="V26" s="15">
        <v>-9600</v>
      </c>
      <c r="W26" s="15"/>
      <c r="X26" s="15"/>
      <c r="Y26" s="15">
        <v>-14716.35</v>
      </c>
      <c r="Z26" s="15"/>
      <c r="AA26" s="15"/>
      <c r="AB26" s="15"/>
      <c r="AC26" s="15">
        <v>-30000</v>
      </c>
      <c r="AD26" s="15"/>
      <c r="AE26" s="15"/>
      <c r="AF26" s="15"/>
      <c r="AG26" s="15"/>
      <c r="AH26" s="15"/>
      <c r="AI26" s="15"/>
      <c r="AJ26" s="15">
        <v>-19006.150000000001</v>
      </c>
      <c r="AK26" s="15"/>
      <c r="AL26" s="15"/>
      <c r="AM26" s="15">
        <v>-9600</v>
      </c>
      <c r="AN26" s="15"/>
      <c r="AO26" s="15"/>
      <c r="AP26" s="15"/>
      <c r="AQ26" s="15"/>
      <c r="AR26" s="15">
        <v>-14716.35</v>
      </c>
      <c r="AS26" s="15"/>
      <c r="AT26" s="15"/>
      <c r="AU26" s="15"/>
      <c r="AV26" s="15"/>
      <c r="AW26" s="15"/>
      <c r="AX26" s="15">
        <v>-30000</v>
      </c>
      <c r="AY26" s="49"/>
      <c r="AZ26" s="15"/>
      <c r="BA26" s="15"/>
      <c r="BB26" s="15"/>
      <c r="BC26" s="15"/>
      <c r="BD26" s="15">
        <v>-19006.150000000001</v>
      </c>
      <c r="BE26" s="15"/>
      <c r="BF26" s="15"/>
      <c r="BG26" s="15">
        <v>-129600</v>
      </c>
      <c r="BH26" s="15"/>
      <c r="BI26" s="15"/>
      <c r="BJ26" s="15"/>
      <c r="BK26" s="15"/>
      <c r="BL26" s="15">
        <v>-214716.35</v>
      </c>
      <c r="BM26" s="15"/>
      <c r="BN26" s="15"/>
      <c r="BO26" s="15">
        <v>-30000</v>
      </c>
      <c r="BP26" s="15"/>
      <c r="BQ26" s="15"/>
      <c r="BR26" s="15"/>
      <c r="BS26" s="15">
        <v>-280000</v>
      </c>
      <c r="BT26" s="15"/>
      <c r="BU26" s="15"/>
      <c r="BV26" s="15"/>
      <c r="BW26" s="15"/>
      <c r="BX26" s="15"/>
      <c r="BY26" s="15">
        <v>-30000</v>
      </c>
      <c r="BZ26" s="15">
        <v>-884677.7</v>
      </c>
    </row>
    <row r="27" spans="3:78" x14ac:dyDescent="0.25">
      <c r="C27" s="14" t="s">
        <v>18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>
        <v>-30000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>
        <v>-30000</v>
      </c>
      <c r="AD27" s="15"/>
      <c r="AE27" s="15"/>
      <c r="AF27" s="15"/>
      <c r="AG27" s="15"/>
      <c r="AH27" s="15"/>
      <c r="AI27" s="15"/>
      <c r="AJ27" s="15">
        <v>-19006.150000000001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>
        <v>-30000</v>
      </c>
      <c r="AY27" s="15"/>
      <c r="AZ27" s="15"/>
      <c r="BA27" s="15"/>
      <c r="BB27" s="15"/>
      <c r="BC27" s="15"/>
      <c r="BD27" s="15">
        <v>-19006.150000000001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>
        <v>-30000</v>
      </c>
      <c r="BP27" s="15"/>
      <c r="BQ27" s="15"/>
      <c r="BR27" s="15"/>
      <c r="BS27" s="15">
        <v>-280000</v>
      </c>
      <c r="BT27" s="15"/>
      <c r="BU27" s="15"/>
      <c r="BV27" s="15"/>
      <c r="BW27" s="15"/>
      <c r="BX27" s="15"/>
      <c r="BY27" s="15">
        <v>-30000</v>
      </c>
      <c r="BZ27" s="15">
        <v>-468012.3</v>
      </c>
    </row>
    <row r="28" spans="3:78" x14ac:dyDescent="0.25">
      <c r="C28" s="14" t="s">
        <v>242</v>
      </c>
      <c r="D28" s="15"/>
      <c r="E28" s="15"/>
      <c r="F28" s="15"/>
      <c r="G28" s="15"/>
      <c r="H28" s="15"/>
      <c r="I28" s="15"/>
      <c r="J28" s="15"/>
      <c r="K28" s="15"/>
      <c r="L28" s="15">
        <v>-14716.35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>
        <v>-14716.35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>
        <v>-14716.35</v>
      </c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>
        <v>-214716.35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>
        <v>-258865.40000000002</v>
      </c>
    </row>
    <row r="29" spans="3:78" x14ac:dyDescent="0.25">
      <c r="C29" s="14" t="s">
        <v>268</v>
      </c>
      <c r="D29" s="15"/>
      <c r="E29" s="15"/>
      <c r="F29" s="15"/>
      <c r="G29" s="15"/>
      <c r="H29" s="15"/>
      <c r="I29" s="15">
        <v>-9000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>
        <v>-9600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>
        <v>-9600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>
        <v>-129600</v>
      </c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>
        <v>-157800</v>
      </c>
    </row>
    <row r="30" spans="3:78" x14ac:dyDescent="0.25">
      <c r="C30" s="5" t="s">
        <v>169</v>
      </c>
      <c r="D30" s="15">
        <v>0</v>
      </c>
      <c r="E30" s="15"/>
      <c r="F30" s="15">
        <v>-25600</v>
      </c>
      <c r="G30" s="15">
        <v>-5440</v>
      </c>
      <c r="H30" s="15">
        <v>-2500</v>
      </c>
      <c r="I30" s="15"/>
      <c r="J30" s="15">
        <v>-32000</v>
      </c>
      <c r="K30" s="15">
        <v>-6100</v>
      </c>
      <c r="L30" s="15">
        <v>-30160</v>
      </c>
      <c r="M30" s="15"/>
      <c r="N30" s="15"/>
      <c r="O30" s="15">
        <v>-5413.17</v>
      </c>
      <c r="P30" s="15">
        <v>-32500</v>
      </c>
      <c r="Q30" s="15">
        <v>-3900</v>
      </c>
      <c r="R30" s="15"/>
      <c r="S30" s="15">
        <v>-6544</v>
      </c>
      <c r="T30" s="15">
        <v>-744443.50977777771</v>
      </c>
      <c r="U30" s="15">
        <v>-23800</v>
      </c>
      <c r="V30" s="15">
        <v>-4666.666666666667</v>
      </c>
      <c r="W30" s="15">
        <v>-10834.046933333335</v>
      </c>
      <c r="X30" s="15">
        <v>-16892.266666666666</v>
      </c>
      <c r="Y30" s="15">
        <v>-44263.93</v>
      </c>
      <c r="Z30" s="15"/>
      <c r="AA30" s="15"/>
      <c r="AB30" s="15">
        <v>-602213.61844444426</v>
      </c>
      <c r="AC30" s="15">
        <v>-19244.404000000002</v>
      </c>
      <c r="AD30" s="15">
        <v>-2867.2000000000003</v>
      </c>
      <c r="AE30" s="15">
        <v>-9147.2000000000007</v>
      </c>
      <c r="AF30" s="15">
        <v>-7233.333333333333</v>
      </c>
      <c r="AG30" s="15">
        <v>-5993.7</v>
      </c>
      <c r="AH30" s="15"/>
      <c r="AI30" s="15">
        <v>-655586.47244444431</v>
      </c>
      <c r="AJ30" s="15">
        <v>-17600</v>
      </c>
      <c r="AK30" s="15">
        <v>-276594.65999999997</v>
      </c>
      <c r="AL30" s="15">
        <v>-14060.608</v>
      </c>
      <c r="AM30" s="15">
        <v>-12633.5136</v>
      </c>
      <c r="AN30" s="15">
        <v>-13780.533333333333</v>
      </c>
      <c r="AO30" s="15">
        <v>-73675.139999999985</v>
      </c>
      <c r="AP30" s="15">
        <v>-8025.6</v>
      </c>
      <c r="AQ30" s="15">
        <v>-12438.058666666666</v>
      </c>
      <c r="AR30" s="15"/>
      <c r="AS30" s="15">
        <v>-531088.73733333335</v>
      </c>
      <c r="AT30" s="15"/>
      <c r="AU30" s="15">
        <v>-141633.48800000001</v>
      </c>
      <c r="AV30" s="15">
        <v>-18506.05</v>
      </c>
      <c r="AW30" s="15"/>
      <c r="AX30" s="15">
        <v>-1140.42</v>
      </c>
      <c r="AY30" s="15">
        <v>-79935.28</v>
      </c>
      <c r="AZ30" s="15">
        <v>-9147.2000000000007</v>
      </c>
      <c r="BA30" s="15"/>
      <c r="BB30" s="15">
        <v>-537823.1013333333</v>
      </c>
      <c r="BC30" s="15">
        <v>-55804.800000000003</v>
      </c>
      <c r="BD30" s="15"/>
      <c r="BE30" s="15">
        <v>-276594.65999999997</v>
      </c>
      <c r="BF30" s="15">
        <v>-7966.8469333333342</v>
      </c>
      <c r="BG30" s="15">
        <v>-4666.666666666667</v>
      </c>
      <c r="BH30" s="15">
        <v>-101824.77000000003</v>
      </c>
      <c r="BI30" s="15">
        <v>-6547.2000000000007</v>
      </c>
      <c r="BJ30" s="15"/>
      <c r="BK30" s="15">
        <v>-132157.01333333334</v>
      </c>
      <c r="BL30" s="15"/>
      <c r="BM30" s="15"/>
      <c r="BN30" s="15">
        <v>-124954.52</v>
      </c>
      <c r="BO30" s="15">
        <v>-46757.78</v>
      </c>
      <c r="BP30" s="15"/>
      <c r="BQ30" s="15">
        <v>-105802.07733333332</v>
      </c>
      <c r="BR30" s="15">
        <v>-13622.4</v>
      </c>
      <c r="BS30" s="15"/>
      <c r="BT30" s="15">
        <v>-77748.83</v>
      </c>
      <c r="BU30" s="15"/>
      <c r="BV30" s="15">
        <v>-51396.577333333335</v>
      </c>
      <c r="BW30" s="15"/>
      <c r="BX30" s="15">
        <v>-86405.72</v>
      </c>
      <c r="BY30" s="15"/>
      <c r="BZ30" s="15">
        <v>-5137675.7701333333</v>
      </c>
    </row>
    <row r="31" spans="3:78" x14ac:dyDescent="0.25">
      <c r="C31" s="6" t="s">
        <v>91</v>
      </c>
      <c r="D31" s="15">
        <v>0</v>
      </c>
      <c r="E31" s="15"/>
      <c r="F31" s="15">
        <v>-25600</v>
      </c>
      <c r="G31" s="15"/>
      <c r="H31" s="15"/>
      <c r="I31" s="15"/>
      <c r="J31" s="15">
        <v>-32000</v>
      </c>
      <c r="K31" s="15">
        <v>-700</v>
      </c>
      <c r="L31" s="15"/>
      <c r="M31" s="15"/>
      <c r="N31" s="15"/>
      <c r="O31" s="15"/>
      <c r="P31" s="15"/>
      <c r="Q31" s="15"/>
      <c r="R31" s="15"/>
      <c r="S31" s="15"/>
      <c r="T31" s="15">
        <v>-47941.33</v>
      </c>
      <c r="U31" s="15"/>
      <c r="V31" s="15"/>
      <c r="W31" s="15"/>
      <c r="X31" s="15"/>
      <c r="Y31" s="15"/>
      <c r="Z31" s="15"/>
      <c r="AA31" s="15"/>
      <c r="AB31" s="15">
        <v>-187978.83</v>
      </c>
      <c r="AC31" s="15"/>
      <c r="AD31" s="15"/>
      <c r="AE31" s="15"/>
      <c r="AF31" s="15"/>
      <c r="AG31" s="15"/>
      <c r="AH31" s="15"/>
      <c r="AI31" s="15">
        <v>-217066.97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>
        <v>-218198.88</v>
      </c>
      <c r="AT31" s="15"/>
      <c r="AU31" s="15"/>
      <c r="AV31" s="15"/>
      <c r="AW31" s="15"/>
      <c r="AX31" s="15"/>
      <c r="AY31" s="15"/>
      <c r="AZ31" s="15"/>
      <c r="BA31" s="15"/>
      <c r="BB31" s="15">
        <v>-198637.59</v>
      </c>
      <c r="BC31" s="15"/>
      <c r="BD31" s="15"/>
      <c r="BE31" s="15"/>
      <c r="BF31" s="15"/>
      <c r="BG31" s="15"/>
      <c r="BH31" s="15"/>
      <c r="BI31" s="15"/>
      <c r="BJ31" s="15"/>
      <c r="BK31" s="15">
        <v>-91716.2</v>
      </c>
      <c r="BL31" s="15"/>
      <c r="BM31" s="15"/>
      <c r="BN31" s="15"/>
      <c r="BO31" s="15"/>
      <c r="BP31" s="15"/>
      <c r="BQ31" s="15">
        <v>-83605.579999999987</v>
      </c>
      <c r="BR31" s="15"/>
      <c r="BS31" s="15"/>
      <c r="BT31" s="15"/>
      <c r="BU31" s="15"/>
      <c r="BV31" s="15">
        <v>-36522.239999999998</v>
      </c>
      <c r="BW31" s="15"/>
      <c r="BX31" s="15"/>
      <c r="BY31" s="15"/>
      <c r="BZ31" s="15">
        <v>-1139967.6199999999</v>
      </c>
    </row>
    <row r="32" spans="3:78" x14ac:dyDescent="0.25">
      <c r="C32" s="14" t="s">
        <v>184</v>
      </c>
      <c r="D32" s="15"/>
      <c r="E32" s="15"/>
      <c r="F32" s="15">
        <v>-25600</v>
      </c>
      <c r="G32" s="15"/>
      <c r="H32" s="15"/>
      <c r="I32" s="15"/>
      <c r="J32" s="15">
        <v>-32000</v>
      </c>
      <c r="K32" s="15">
        <v>-700</v>
      </c>
      <c r="L32" s="15"/>
      <c r="M32" s="15"/>
      <c r="N32" s="15"/>
      <c r="O32" s="15"/>
      <c r="P32" s="15"/>
      <c r="Q32" s="15"/>
      <c r="R32" s="15"/>
      <c r="S32" s="15"/>
      <c r="T32" s="15">
        <v>-47941.33</v>
      </c>
      <c r="U32" s="15"/>
      <c r="V32" s="15"/>
      <c r="W32" s="15"/>
      <c r="X32" s="15"/>
      <c r="Y32" s="15"/>
      <c r="Z32" s="15"/>
      <c r="AA32" s="15"/>
      <c r="AB32" s="15">
        <v>-60778.829999999994</v>
      </c>
      <c r="AC32" s="15"/>
      <c r="AD32" s="15"/>
      <c r="AE32" s="15"/>
      <c r="AF32" s="15"/>
      <c r="AG32" s="15"/>
      <c r="AH32" s="15"/>
      <c r="AI32" s="15">
        <v>-164066.97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>
        <v>-112198.87999999999</v>
      </c>
      <c r="AT32" s="15"/>
      <c r="AU32" s="15"/>
      <c r="AV32" s="15"/>
      <c r="AW32" s="15"/>
      <c r="AX32" s="15"/>
      <c r="AY32" s="15"/>
      <c r="AZ32" s="15"/>
      <c r="BA32" s="15"/>
      <c r="BB32" s="15">
        <v>-145637.59</v>
      </c>
      <c r="BC32" s="15"/>
      <c r="BD32" s="15"/>
      <c r="BE32" s="15"/>
      <c r="BF32" s="15"/>
      <c r="BG32" s="15"/>
      <c r="BH32" s="15"/>
      <c r="BI32" s="15"/>
      <c r="BJ32" s="15"/>
      <c r="BK32" s="15">
        <v>-91716.2</v>
      </c>
      <c r="BL32" s="15"/>
      <c r="BM32" s="15"/>
      <c r="BN32" s="15"/>
      <c r="BO32" s="15"/>
      <c r="BP32" s="15"/>
      <c r="BQ32" s="15">
        <v>-83605.579999999987</v>
      </c>
      <c r="BR32" s="15"/>
      <c r="BS32" s="15"/>
      <c r="BT32" s="15"/>
      <c r="BU32" s="15"/>
      <c r="BV32" s="15">
        <v>-36522.239999999998</v>
      </c>
      <c r="BW32" s="15"/>
      <c r="BX32" s="15"/>
      <c r="BY32" s="15"/>
      <c r="BZ32" s="15">
        <v>-800767.61999999988</v>
      </c>
    </row>
    <row r="33" spans="3:78" x14ac:dyDescent="0.25">
      <c r="C33" s="14" t="s">
        <v>257</v>
      </c>
      <c r="D33" s="15"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>
        <v>0</v>
      </c>
    </row>
    <row r="34" spans="3:78" x14ac:dyDescent="0.25">
      <c r="C34" s="14" t="s">
        <v>396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>
        <v>-127200</v>
      </c>
      <c r="AC34" s="15"/>
      <c r="AD34" s="15"/>
      <c r="AE34" s="15"/>
      <c r="AF34" s="15"/>
      <c r="AG34" s="15"/>
      <c r="AH34" s="15"/>
      <c r="AI34" s="15">
        <v>-53000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>
        <v>-106000</v>
      </c>
      <c r="AT34" s="15"/>
      <c r="AU34" s="15"/>
      <c r="AV34" s="15"/>
      <c r="AW34" s="15"/>
      <c r="AX34" s="15"/>
      <c r="AY34" s="15"/>
      <c r="AZ34" s="15"/>
      <c r="BA34" s="15"/>
      <c r="BB34" s="15">
        <v>-53000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>
        <v>-339200</v>
      </c>
    </row>
    <row r="35" spans="3:78" x14ac:dyDescent="0.25">
      <c r="C35" s="6" t="s">
        <v>100</v>
      </c>
      <c r="D35" s="15"/>
      <c r="E35" s="15"/>
      <c r="F35" s="15"/>
      <c r="G35" s="15"/>
      <c r="H35" s="15"/>
      <c r="I35" s="15"/>
      <c r="J35" s="15"/>
      <c r="K35" s="15"/>
      <c r="L35" s="15">
        <v>-28560</v>
      </c>
      <c r="M35" s="15"/>
      <c r="N35" s="15"/>
      <c r="O35" s="15"/>
      <c r="P35" s="15">
        <v>-23800</v>
      </c>
      <c r="Q35" s="15"/>
      <c r="R35" s="15"/>
      <c r="S35" s="15"/>
      <c r="T35" s="15">
        <v>-426356.25999999995</v>
      </c>
      <c r="U35" s="15">
        <v>-23800</v>
      </c>
      <c r="V35" s="15"/>
      <c r="W35" s="15"/>
      <c r="X35" s="15">
        <v>-8866.6666666666661</v>
      </c>
      <c r="Y35" s="15"/>
      <c r="Z35" s="15"/>
      <c r="AA35" s="15"/>
      <c r="AB35" s="15">
        <v>-153922.51</v>
      </c>
      <c r="AC35" s="15"/>
      <c r="AD35" s="15"/>
      <c r="AE35" s="15"/>
      <c r="AF35" s="15">
        <v>-7233.333333333333</v>
      </c>
      <c r="AG35" s="15"/>
      <c r="AH35" s="15"/>
      <c r="AI35" s="15">
        <v>-315350.54666666669</v>
      </c>
      <c r="AJ35" s="15"/>
      <c r="AK35" s="15">
        <v>-241333.33</v>
      </c>
      <c r="AL35" s="15"/>
      <c r="AM35" s="15"/>
      <c r="AN35" s="15">
        <v>-7233.333333333333</v>
      </c>
      <c r="AO35" s="15"/>
      <c r="AP35" s="15"/>
      <c r="AQ35" s="15"/>
      <c r="AR35" s="15"/>
      <c r="AS35" s="15">
        <v>-251543.02000000002</v>
      </c>
      <c r="AT35" s="15"/>
      <c r="AU35" s="15"/>
      <c r="AV35" s="15"/>
      <c r="AW35" s="15"/>
      <c r="AX35" s="15"/>
      <c r="AY35" s="15"/>
      <c r="AZ35" s="15"/>
      <c r="BA35" s="15"/>
      <c r="BB35" s="15">
        <v>-266760.35666666669</v>
      </c>
      <c r="BC35" s="15"/>
      <c r="BD35" s="15"/>
      <c r="BE35" s="15">
        <v>-241333.33</v>
      </c>
      <c r="BF35" s="15"/>
      <c r="BG35" s="15"/>
      <c r="BH35" s="15"/>
      <c r="BI35" s="15"/>
      <c r="BJ35" s="15"/>
      <c r="BK35" s="15">
        <v>-39508.333333333336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>
        <v>-2035601.02</v>
      </c>
    </row>
    <row r="36" spans="3:78" x14ac:dyDescent="0.25">
      <c r="C36" s="14" t="s">
        <v>184</v>
      </c>
      <c r="D36" s="15"/>
      <c r="E36" s="15"/>
      <c r="F36" s="15"/>
      <c r="G36" s="15"/>
      <c r="H36" s="15"/>
      <c r="I36" s="15"/>
      <c r="J36" s="15"/>
      <c r="K36" s="15"/>
      <c r="L36" s="15">
        <v>-28560</v>
      </c>
      <c r="M36" s="15"/>
      <c r="N36" s="15"/>
      <c r="O36" s="15"/>
      <c r="P36" s="15">
        <v>-23800</v>
      </c>
      <c r="Q36" s="15"/>
      <c r="R36" s="15"/>
      <c r="S36" s="15"/>
      <c r="T36" s="15"/>
      <c r="U36" s="15">
        <v>-23800</v>
      </c>
      <c r="V36" s="15"/>
      <c r="W36" s="15"/>
      <c r="X36" s="15">
        <v>-8866.6666666666661</v>
      </c>
      <c r="Y36" s="15"/>
      <c r="Z36" s="15"/>
      <c r="AA36" s="15"/>
      <c r="AB36" s="15"/>
      <c r="AC36" s="15"/>
      <c r="AD36" s="15"/>
      <c r="AE36" s="15"/>
      <c r="AF36" s="15">
        <v>-7233.333333333333</v>
      </c>
      <c r="AG36" s="15"/>
      <c r="AH36" s="15"/>
      <c r="AI36" s="15">
        <v>-61906.666666666664</v>
      </c>
      <c r="AJ36" s="15"/>
      <c r="AK36" s="15"/>
      <c r="AL36" s="15"/>
      <c r="AM36" s="15"/>
      <c r="AN36" s="15">
        <v>-7233.333333333333</v>
      </c>
      <c r="AO36" s="15"/>
      <c r="AP36" s="15"/>
      <c r="AQ36" s="15"/>
      <c r="AR36" s="15"/>
      <c r="AS36" s="15">
        <v>-60300</v>
      </c>
      <c r="AT36" s="15"/>
      <c r="AU36" s="15"/>
      <c r="AV36" s="15"/>
      <c r="AW36" s="15"/>
      <c r="AX36" s="15"/>
      <c r="AY36" s="15"/>
      <c r="AZ36" s="15"/>
      <c r="BA36" s="15"/>
      <c r="BB36" s="15">
        <v>-58666.666666666664</v>
      </c>
      <c r="BC36" s="15"/>
      <c r="BD36" s="15"/>
      <c r="BE36" s="15"/>
      <c r="BF36" s="15"/>
      <c r="BG36" s="15"/>
      <c r="BH36" s="15"/>
      <c r="BI36" s="15"/>
      <c r="BJ36" s="15"/>
      <c r="BK36" s="15">
        <v>-7233.333333333333</v>
      </c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>
        <v>-287600</v>
      </c>
    </row>
    <row r="37" spans="3:78" x14ac:dyDescent="0.25">
      <c r="C37" s="14" t="s">
        <v>394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>
        <v>-426356.25999999995</v>
      </c>
      <c r="U37" s="15"/>
      <c r="V37" s="15"/>
      <c r="W37" s="15"/>
      <c r="X37" s="15"/>
      <c r="Y37" s="15"/>
      <c r="Z37" s="15"/>
      <c r="AA37" s="15"/>
      <c r="AB37" s="15">
        <v>-153922.51</v>
      </c>
      <c r="AC37" s="15"/>
      <c r="AD37" s="15"/>
      <c r="AE37" s="15"/>
      <c r="AF37" s="15"/>
      <c r="AG37" s="15"/>
      <c r="AH37" s="15"/>
      <c r="AI37" s="15">
        <v>-253443.88</v>
      </c>
      <c r="AJ37" s="15"/>
      <c r="AK37" s="15">
        <v>-241333.33</v>
      </c>
      <c r="AL37" s="15"/>
      <c r="AM37" s="15"/>
      <c r="AN37" s="15"/>
      <c r="AO37" s="15"/>
      <c r="AP37" s="15"/>
      <c r="AQ37" s="15"/>
      <c r="AR37" s="15"/>
      <c r="AS37" s="15">
        <v>-191243.02000000002</v>
      </c>
      <c r="AT37" s="15"/>
      <c r="AU37" s="15"/>
      <c r="AV37" s="15"/>
      <c r="AW37" s="15"/>
      <c r="AX37" s="15"/>
      <c r="AY37" s="15"/>
      <c r="AZ37" s="15"/>
      <c r="BA37" s="15"/>
      <c r="BB37" s="15">
        <v>-208093.69</v>
      </c>
      <c r="BC37" s="15"/>
      <c r="BD37" s="15"/>
      <c r="BE37" s="15">
        <v>-241333.33</v>
      </c>
      <c r="BF37" s="15"/>
      <c r="BG37" s="15"/>
      <c r="BH37" s="15"/>
      <c r="BI37" s="15"/>
      <c r="BJ37" s="15"/>
      <c r="BK37" s="15">
        <v>-32275</v>
      </c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>
        <v>-1748001.02</v>
      </c>
    </row>
    <row r="38" spans="3:78" x14ac:dyDescent="0.25">
      <c r="C38" s="6" t="s">
        <v>95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>
        <v>-868.4</v>
      </c>
      <c r="P38" s="15"/>
      <c r="Q38" s="15"/>
      <c r="R38" s="15"/>
      <c r="S38" s="15"/>
      <c r="T38" s="15">
        <v>-49648.636666666665</v>
      </c>
      <c r="U38" s="15"/>
      <c r="V38" s="15"/>
      <c r="W38" s="15"/>
      <c r="X38" s="15"/>
      <c r="Y38" s="15"/>
      <c r="Z38" s="15"/>
      <c r="AA38" s="15"/>
      <c r="AB38" s="15">
        <v>-14498.196666666667</v>
      </c>
      <c r="AC38" s="15">
        <v>-868.4</v>
      </c>
      <c r="AD38" s="15"/>
      <c r="AE38" s="15"/>
      <c r="AF38" s="15"/>
      <c r="AG38" s="15"/>
      <c r="AH38" s="15"/>
      <c r="AI38" s="15">
        <v>-14498.196666666667</v>
      </c>
      <c r="AJ38" s="15"/>
      <c r="AK38" s="15">
        <v>-35261.33</v>
      </c>
      <c r="AL38" s="15"/>
      <c r="AM38" s="15"/>
      <c r="AN38" s="15"/>
      <c r="AO38" s="15">
        <v>-3836.8</v>
      </c>
      <c r="AP38" s="15"/>
      <c r="AQ38" s="15"/>
      <c r="AR38" s="15"/>
      <c r="AS38" s="15"/>
      <c r="AT38" s="15"/>
      <c r="AU38" s="15">
        <v>-124.8</v>
      </c>
      <c r="AV38" s="15"/>
      <c r="AW38" s="15"/>
      <c r="AX38" s="15"/>
      <c r="AY38" s="15">
        <v>-3836.8</v>
      </c>
      <c r="AZ38" s="15"/>
      <c r="BA38" s="15"/>
      <c r="BB38" s="15"/>
      <c r="BC38" s="15"/>
      <c r="BD38" s="15"/>
      <c r="BE38" s="15">
        <v>-35261.33</v>
      </c>
      <c r="BF38" s="15"/>
      <c r="BG38" s="15"/>
      <c r="BH38" s="15"/>
      <c r="BI38" s="15"/>
      <c r="BJ38" s="15"/>
      <c r="BK38" s="15"/>
      <c r="BL38" s="15"/>
      <c r="BM38" s="15"/>
      <c r="BN38" s="15">
        <v>-124.8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>
        <v>-158827.69</v>
      </c>
    </row>
    <row r="39" spans="3:78" x14ac:dyDescent="0.25">
      <c r="C39" s="14" t="s">
        <v>18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>
        <v>-868.4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>
        <v>-868.4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>
        <v>-1736.8</v>
      </c>
    </row>
    <row r="40" spans="3:78" x14ac:dyDescent="0.25">
      <c r="C40" s="14" t="s">
        <v>184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>
        <v>-3836.8</v>
      </c>
      <c r="AP40" s="15"/>
      <c r="AQ40" s="15"/>
      <c r="AR40" s="15"/>
      <c r="AS40" s="15"/>
      <c r="AT40" s="15"/>
      <c r="AU40" s="15">
        <v>-124.8</v>
      </c>
      <c r="AV40" s="15"/>
      <c r="AW40" s="15"/>
      <c r="AX40" s="15"/>
      <c r="AY40" s="15">
        <v>-3836.8</v>
      </c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>
        <v>-124.8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>
        <v>-7923.2000000000007</v>
      </c>
    </row>
    <row r="41" spans="3:78" x14ac:dyDescent="0.25">
      <c r="C41" s="14" t="s">
        <v>298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>
        <v>-14387.306666666665</v>
      </c>
      <c r="U41" s="15"/>
      <c r="V41" s="15"/>
      <c r="W41" s="15"/>
      <c r="X41" s="15"/>
      <c r="Y41" s="15"/>
      <c r="Z41" s="15"/>
      <c r="AA41" s="15"/>
      <c r="AB41" s="15">
        <v>-14498.196666666667</v>
      </c>
      <c r="AC41" s="15"/>
      <c r="AD41" s="15"/>
      <c r="AE41" s="15"/>
      <c r="AF41" s="15"/>
      <c r="AG41" s="15"/>
      <c r="AH41" s="15"/>
      <c r="AI41" s="15">
        <v>-14498.196666666667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>
        <v>-43383.7</v>
      </c>
    </row>
    <row r="42" spans="3:78" x14ac:dyDescent="0.25">
      <c r="C42" s="14" t="s">
        <v>306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>
        <v>-10000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>
        <v>-10000</v>
      </c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>
        <v>-10000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>
        <v>-30000</v>
      </c>
    </row>
    <row r="43" spans="3:78" x14ac:dyDescent="0.25">
      <c r="C43" s="14" t="s">
        <v>322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>
        <v>-25261.33</v>
      </c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>
        <v>-25261.33</v>
      </c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>
        <v>-25261.33</v>
      </c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>
        <v>-75783.990000000005</v>
      </c>
    </row>
    <row r="44" spans="3:78" x14ac:dyDescent="0.25">
      <c r="C44" s="6" t="s">
        <v>110</v>
      </c>
      <c r="D44" s="15"/>
      <c r="E44" s="15"/>
      <c r="F44" s="15"/>
      <c r="G44" s="15"/>
      <c r="H44" s="15">
        <v>-2500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>
        <v>-1076.96</v>
      </c>
      <c r="AZ44" s="15"/>
      <c r="BA44" s="15"/>
      <c r="BB44" s="15">
        <v>-931.48</v>
      </c>
      <c r="BC44" s="15"/>
      <c r="BD44" s="15"/>
      <c r="BE44" s="15"/>
      <c r="BF44" s="15"/>
      <c r="BG44" s="15"/>
      <c r="BH44" s="15">
        <v>-1076.96</v>
      </c>
      <c r="BI44" s="15"/>
      <c r="BJ44" s="15"/>
      <c r="BK44" s="15">
        <v>-932.48</v>
      </c>
      <c r="BL44" s="15"/>
      <c r="BM44" s="15"/>
      <c r="BN44" s="15"/>
      <c r="BO44" s="15"/>
      <c r="BP44" s="15"/>
      <c r="BQ44" s="15">
        <v>-3349.66</v>
      </c>
      <c r="BR44" s="15"/>
      <c r="BS44" s="15"/>
      <c r="BT44" s="15"/>
      <c r="BU44" s="15"/>
      <c r="BV44" s="15">
        <v>-4727.5</v>
      </c>
      <c r="BW44" s="15"/>
      <c r="BX44" s="15"/>
      <c r="BY44" s="15"/>
      <c r="BZ44" s="15">
        <v>-14595.04</v>
      </c>
    </row>
    <row r="45" spans="3:78" x14ac:dyDescent="0.25">
      <c r="C45" s="14" t="s">
        <v>184</v>
      </c>
      <c r="D45" s="15"/>
      <c r="E45" s="15"/>
      <c r="F45" s="15"/>
      <c r="G45" s="15"/>
      <c r="H45" s="15">
        <v>-2500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>
        <v>-1076.96</v>
      </c>
      <c r="AZ45" s="15"/>
      <c r="BA45" s="15"/>
      <c r="BB45" s="15">
        <v>-931.48</v>
      </c>
      <c r="BC45" s="15"/>
      <c r="BD45" s="15"/>
      <c r="BE45" s="15"/>
      <c r="BF45" s="15"/>
      <c r="BG45" s="15"/>
      <c r="BH45" s="15">
        <v>-1076.96</v>
      </c>
      <c r="BI45" s="15"/>
      <c r="BJ45" s="15"/>
      <c r="BK45" s="15">
        <v>-932.48</v>
      </c>
      <c r="BL45" s="15"/>
      <c r="BM45" s="15"/>
      <c r="BN45" s="15"/>
      <c r="BO45" s="15"/>
      <c r="BP45" s="15"/>
      <c r="BQ45" s="15">
        <v>-3349.66</v>
      </c>
      <c r="BR45" s="15"/>
      <c r="BS45" s="15"/>
      <c r="BT45" s="15"/>
      <c r="BU45" s="15"/>
      <c r="BV45" s="15">
        <v>-4727.5</v>
      </c>
      <c r="BW45" s="15"/>
      <c r="BX45" s="15"/>
      <c r="BY45" s="15"/>
      <c r="BZ45" s="15">
        <v>-14595.04</v>
      </c>
    </row>
    <row r="46" spans="3:78" x14ac:dyDescent="0.25">
      <c r="C46" s="6" t="s">
        <v>99</v>
      </c>
      <c r="D46" s="15"/>
      <c r="E46" s="15"/>
      <c r="F46" s="15"/>
      <c r="G46" s="15"/>
      <c r="H46" s="15"/>
      <c r="I46" s="15"/>
      <c r="J46" s="15"/>
      <c r="K46" s="15">
        <v>-3900</v>
      </c>
      <c r="L46" s="15"/>
      <c r="M46" s="15"/>
      <c r="N46" s="15"/>
      <c r="O46" s="15">
        <v>-2073.92</v>
      </c>
      <c r="P46" s="15"/>
      <c r="Q46" s="15">
        <v>-3900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>
        <v>-11551.383333333299</v>
      </c>
      <c r="AC46" s="15">
        <v>-1140.42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>
        <v>-1292.1600000000001</v>
      </c>
      <c r="AP46" s="15"/>
      <c r="AQ46" s="15"/>
      <c r="AR46" s="15"/>
      <c r="AS46" s="15"/>
      <c r="AT46" s="15"/>
      <c r="AU46" s="15"/>
      <c r="AV46" s="15">
        <v>-906.05</v>
      </c>
      <c r="AW46" s="15"/>
      <c r="AX46" s="15">
        <v>-1140.42</v>
      </c>
      <c r="AY46" s="15">
        <v>-1292.1600000000001</v>
      </c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>
        <v>-1140.42</v>
      </c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>
        <v>-28336.933333333298</v>
      </c>
    </row>
    <row r="47" spans="3:78" x14ac:dyDescent="0.25">
      <c r="C47" s="14" t="s">
        <v>18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-1140.42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>
        <v>-1140.42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>
        <v>-1140.42</v>
      </c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>
        <v>-1140.42</v>
      </c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>
        <v>-4561.68</v>
      </c>
    </row>
    <row r="48" spans="3:78" x14ac:dyDescent="0.25">
      <c r="C48" s="14" t="s">
        <v>184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>
        <v>-933.5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>
        <v>-11551.383333333299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>
        <v>-1292.1600000000001</v>
      </c>
      <c r="AP48" s="15"/>
      <c r="AQ48" s="15"/>
      <c r="AR48" s="15"/>
      <c r="AS48" s="15"/>
      <c r="AT48" s="15"/>
      <c r="AU48" s="15"/>
      <c r="AV48" s="15">
        <v>-906.05</v>
      </c>
      <c r="AW48" s="15"/>
      <c r="AX48" s="15"/>
      <c r="AY48" s="15">
        <v>-1292.1600000000001</v>
      </c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>
        <v>-15975.253333333298</v>
      </c>
    </row>
    <row r="49" spans="3:78" x14ac:dyDescent="0.25">
      <c r="C49" s="14" t="s">
        <v>393</v>
      </c>
      <c r="D49" s="15"/>
      <c r="E49" s="15"/>
      <c r="F49" s="15"/>
      <c r="G49" s="15"/>
      <c r="H49" s="15"/>
      <c r="I49" s="15"/>
      <c r="J49" s="15"/>
      <c r="K49" s="15">
        <v>-3900</v>
      </c>
      <c r="L49" s="15"/>
      <c r="M49" s="15"/>
      <c r="N49" s="15"/>
      <c r="O49" s="15"/>
      <c r="P49" s="15"/>
      <c r="Q49" s="15">
        <v>-3900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>
        <v>-7800</v>
      </c>
    </row>
    <row r="50" spans="3:78" x14ac:dyDescent="0.25">
      <c r="C50" s="6" t="s">
        <v>90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>
        <v>-14063.217777777782</v>
      </c>
      <c r="U50" s="15"/>
      <c r="V50" s="15"/>
      <c r="W50" s="15">
        <v>-7966.8469333333342</v>
      </c>
      <c r="X50" s="15"/>
      <c r="Y50" s="15"/>
      <c r="Z50" s="15"/>
      <c r="AA50" s="15"/>
      <c r="AB50" s="15">
        <v>-14063.217777777782</v>
      </c>
      <c r="AC50" s="15"/>
      <c r="AD50" s="15"/>
      <c r="AE50" s="15"/>
      <c r="AF50" s="15"/>
      <c r="AG50" s="15">
        <v>-4827.17</v>
      </c>
      <c r="AH50" s="15"/>
      <c r="AI50" s="15">
        <v>-14063.217777777782</v>
      </c>
      <c r="AJ50" s="15"/>
      <c r="AK50" s="15"/>
      <c r="AL50" s="15"/>
      <c r="AM50" s="15">
        <v>-7966.8469333333333</v>
      </c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>
        <v>-12104.72</v>
      </c>
      <c r="AZ50" s="15"/>
      <c r="BA50" s="15"/>
      <c r="BB50" s="15"/>
      <c r="BC50" s="15"/>
      <c r="BD50" s="15"/>
      <c r="BE50" s="15"/>
      <c r="BF50" s="15">
        <v>-7966.8469333333342</v>
      </c>
      <c r="BG50" s="15"/>
      <c r="BH50" s="15"/>
      <c r="BI50" s="15"/>
      <c r="BJ50" s="15"/>
      <c r="BK50" s="15"/>
      <c r="BL50" s="15"/>
      <c r="BM50" s="15"/>
      <c r="BN50" s="15"/>
      <c r="BO50" s="15">
        <v>-12104.72</v>
      </c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>
        <v>-95126.804133333353</v>
      </c>
    </row>
    <row r="51" spans="3:78" x14ac:dyDescent="0.25">
      <c r="C51" s="14" t="s">
        <v>184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>
        <v>-14063.217777777782</v>
      </c>
      <c r="U51" s="15"/>
      <c r="V51" s="15"/>
      <c r="W51" s="15">
        <v>-7966.8469333333342</v>
      </c>
      <c r="X51" s="15"/>
      <c r="Y51" s="15"/>
      <c r="Z51" s="15"/>
      <c r="AA51" s="15"/>
      <c r="AB51" s="15">
        <v>-14063.217777777782</v>
      </c>
      <c r="AC51" s="15"/>
      <c r="AD51" s="15"/>
      <c r="AE51" s="15"/>
      <c r="AF51" s="15"/>
      <c r="AG51" s="15">
        <v>-4827.17</v>
      </c>
      <c r="AH51" s="15"/>
      <c r="AI51" s="15">
        <v>-14063.217777777782</v>
      </c>
      <c r="AJ51" s="15"/>
      <c r="AK51" s="15"/>
      <c r="AL51" s="15"/>
      <c r="AM51" s="15">
        <v>-7966.8469333333333</v>
      </c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>
        <v>-12104.72</v>
      </c>
      <c r="AZ51" s="15"/>
      <c r="BA51" s="15"/>
      <c r="BB51" s="15"/>
      <c r="BC51" s="15"/>
      <c r="BD51" s="15"/>
      <c r="BE51" s="15"/>
      <c r="BF51" s="15">
        <v>-7966.8469333333342</v>
      </c>
      <c r="BG51" s="15"/>
      <c r="BH51" s="15"/>
      <c r="BI51" s="15"/>
      <c r="BJ51" s="15"/>
      <c r="BK51" s="15"/>
      <c r="BL51" s="15"/>
      <c r="BM51" s="15"/>
      <c r="BN51" s="15"/>
      <c r="BO51" s="15">
        <v>-12104.72</v>
      </c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>
        <v>-95126.804133333353</v>
      </c>
    </row>
    <row r="52" spans="3:78" x14ac:dyDescent="0.25">
      <c r="C52" s="6" t="s">
        <v>92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>
        <v>-168280</v>
      </c>
      <c r="U52" s="15"/>
      <c r="V52" s="15"/>
      <c r="W52" s="15"/>
      <c r="X52" s="15"/>
      <c r="Y52" s="15"/>
      <c r="Z52" s="15"/>
      <c r="AA52" s="15"/>
      <c r="AB52" s="15">
        <v>-168280</v>
      </c>
      <c r="AC52" s="15">
        <v>-16177.664000000001</v>
      </c>
      <c r="AD52" s="15"/>
      <c r="AE52" s="15"/>
      <c r="AF52" s="15"/>
      <c r="AG52" s="15"/>
      <c r="AH52" s="15"/>
      <c r="AI52" s="15">
        <v>-10645.333333333299</v>
      </c>
      <c r="AJ52" s="15"/>
      <c r="AK52" s="15"/>
      <c r="AL52" s="15">
        <v>-13197.567999999999</v>
      </c>
      <c r="AM52" s="15"/>
      <c r="AN52" s="15"/>
      <c r="AO52" s="15">
        <v>-15872</v>
      </c>
      <c r="AP52" s="15"/>
      <c r="AQ52" s="15"/>
      <c r="AR52" s="15"/>
      <c r="AS52" s="15"/>
      <c r="AT52" s="15"/>
      <c r="AU52" s="15">
        <v>-13197.567999999999</v>
      </c>
      <c r="AV52" s="15"/>
      <c r="AW52" s="15"/>
      <c r="AX52" s="15"/>
      <c r="AY52" s="15">
        <v>-15872</v>
      </c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>
        <v>-421522.1333333333</v>
      </c>
    </row>
    <row r="53" spans="3:78" x14ac:dyDescent="0.25">
      <c r="C53" s="14" t="s">
        <v>184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>
        <v>-168280</v>
      </c>
      <c r="U53" s="15"/>
      <c r="V53" s="15"/>
      <c r="W53" s="15"/>
      <c r="X53" s="15"/>
      <c r="Y53" s="15"/>
      <c r="Z53" s="15"/>
      <c r="AA53" s="15"/>
      <c r="AB53" s="15">
        <v>-168280</v>
      </c>
      <c r="AC53" s="15"/>
      <c r="AD53" s="15"/>
      <c r="AE53" s="15"/>
      <c r="AF53" s="15"/>
      <c r="AG53" s="15"/>
      <c r="AH53" s="15"/>
      <c r="AI53" s="15">
        <v>-10645.333333333299</v>
      </c>
      <c r="AJ53" s="15"/>
      <c r="AK53" s="15"/>
      <c r="AL53" s="15"/>
      <c r="AM53" s="15"/>
      <c r="AN53" s="15"/>
      <c r="AO53" s="15">
        <v>-15872</v>
      </c>
      <c r="AP53" s="15"/>
      <c r="AQ53" s="15"/>
      <c r="AR53" s="15"/>
      <c r="AS53" s="15"/>
      <c r="AT53" s="15"/>
      <c r="AU53" s="15"/>
      <c r="AV53" s="15"/>
      <c r="AW53" s="15"/>
      <c r="AX53" s="15"/>
      <c r="AY53" s="15">
        <v>-15872</v>
      </c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>
        <v>-378949.33333333331</v>
      </c>
    </row>
    <row r="54" spans="3:78" x14ac:dyDescent="0.25">
      <c r="C54" s="14" t="s">
        <v>392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-16177.664000000001</v>
      </c>
      <c r="AD54" s="15"/>
      <c r="AE54" s="15"/>
      <c r="AF54" s="15"/>
      <c r="AG54" s="15"/>
      <c r="AH54" s="15"/>
      <c r="AI54" s="15"/>
      <c r="AJ54" s="15"/>
      <c r="AK54" s="15"/>
      <c r="AL54" s="15">
        <v>-13197.567999999999</v>
      </c>
      <c r="AM54" s="15"/>
      <c r="AN54" s="15"/>
      <c r="AO54" s="15"/>
      <c r="AP54" s="15"/>
      <c r="AQ54" s="15"/>
      <c r="AR54" s="15"/>
      <c r="AS54" s="15"/>
      <c r="AT54" s="15"/>
      <c r="AU54" s="15">
        <v>-13197.567999999999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>
        <v>-42572.800000000003</v>
      </c>
    </row>
    <row r="55" spans="3:78" x14ac:dyDescent="0.25">
      <c r="C55" s="6" t="s">
        <v>97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>
        <v>-2470.85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>
        <v>-1603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>
        <v>-4073.85</v>
      </c>
    </row>
    <row r="56" spans="3:78" x14ac:dyDescent="0.25">
      <c r="C56" s="14" t="s">
        <v>184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-2470.85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>
        <v>-1603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>
        <v>-4073.85</v>
      </c>
    </row>
    <row r="57" spans="3:78" x14ac:dyDescent="0.25">
      <c r="C57" s="6" t="s">
        <v>96</v>
      </c>
      <c r="D57" s="15"/>
      <c r="E57" s="15"/>
      <c r="F57" s="15"/>
      <c r="G57" s="15">
        <v>-3840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>
        <v>-3840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>
        <v>-7680</v>
      </c>
    </row>
    <row r="58" spans="3:78" x14ac:dyDescent="0.25">
      <c r="C58" s="14" t="s">
        <v>184</v>
      </c>
      <c r="D58" s="15"/>
      <c r="E58" s="15"/>
      <c r="F58" s="15"/>
      <c r="G58" s="15">
        <v>-3840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>
        <v>-3840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>
        <v>-7680</v>
      </c>
    </row>
    <row r="59" spans="3:78" x14ac:dyDescent="0.25">
      <c r="C59" s="6" t="s">
        <v>94</v>
      </c>
      <c r="D59" s="15"/>
      <c r="E59" s="15"/>
      <c r="F59" s="15"/>
      <c r="G59" s="15"/>
      <c r="H59" s="15"/>
      <c r="I59" s="15"/>
      <c r="J59" s="15"/>
      <c r="K59" s="15">
        <v>-1500</v>
      </c>
      <c r="L59" s="15"/>
      <c r="M59" s="15"/>
      <c r="N59" s="15"/>
      <c r="O59" s="15"/>
      <c r="P59" s="15"/>
      <c r="Q59" s="15"/>
      <c r="R59" s="15"/>
      <c r="S59" s="15"/>
      <c r="T59" s="15">
        <v>-15819.3553333333</v>
      </c>
      <c r="U59" s="15"/>
      <c r="V59" s="15"/>
      <c r="W59" s="15">
        <v>-2867.2000000000003</v>
      </c>
      <c r="X59" s="15"/>
      <c r="Y59" s="15">
        <v>-16088.000000000002</v>
      </c>
      <c r="Z59" s="15"/>
      <c r="AA59" s="15"/>
      <c r="AB59" s="15">
        <v>-5159.7119999999995</v>
      </c>
      <c r="AC59" s="15">
        <v>-1057.92</v>
      </c>
      <c r="AD59" s="15">
        <v>-2867.2000000000003</v>
      </c>
      <c r="AE59" s="15"/>
      <c r="AF59" s="15"/>
      <c r="AG59" s="15"/>
      <c r="AH59" s="15"/>
      <c r="AI59" s="15">
        <v>-5159.7119999999995</v>
      </c>
      <c r="AJ59" s="15"/>
      <c r="AK59" s="15"/>
      <c r="AL59" s="15">
        <v>-863.04</v>
      </c>
      <c r="AM59" s="15"/>
      <c r="AN59" s="15"/>
      <c r="AO59" s="15">
        <v>-18955.2</v>
      </c>
      <c r="AP59" s="15"/>
      <c r="AQ59" s="15"/>
      <c r="AR59" s="15"/>
      <c r="AS59" s="15"/>
      <c r="AT59" s="15"/>
      <c r="AU59" s="15">
        <v>-13367.039999999997</v>
      </c>
      <c r="AV59" s="15"/>
      <c r="AW59" s="15"/>
      <c r="AX59" s="15"/>
      <c r="AY59" s="15">
        <v>-1018.8799999999999</v>
      </c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>
        <v>-12504</v>
      </c>
      <c r="BO59" s="15">
        <v>-1018.8799999999999</v>
      </c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>
        <v>-98246.139333333311</v>
      </c>
    </row>
    <row r="60" spans="3:78" x14ac:dyDescent="0.25">
      <c r="C60" s="14" t="s">
        <v>184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>
        <v>-12340.8253333333</v>
      </c>
      <c r="U60" s="15"/>
      <c r="V60" s="15"/>
      <c r="W60" s="15"/>
      <c r="X60" s="15"/>
      <c r="Y60" s="15">
        <v>-16088.000000000002</v>
      </c>
      <c r="Z60" s="15"/>
      <c r="AA60" s="15"/>
      <c r="AB60" s="15">
        <v>-1681.182</v>
      </c>
      <c r="AC60" s="15"/>
      <c r="AD60" s="15"/>
      <c r="AE60" s="15"/>
      <c r="AF60" s="15"/>
      <c r="AG60" s="15"/>
      <c r="AH60" s="15"/>
      <c r="AI60" s="15">
        <v>-1681.182</v>
      </c>
      <c r="AJ60" s="15"/>
      <c r="AK60" s="15"/>
      <c r="AL60" s="15"/>
      <c r="AM60" s="15"/>
      <c r="AN60" s="15"/>
      <c r="AO60" s="15">
        <v>-16088.000000000002</v>
      </c>
      <c r="AP60" s="15"/>
      <c r="AQ60" s="15"/>
      <c r="AR60" s="15"/>
      <c r="AS60" s="15"/>
      <c r="AT60" s="15"/>
      <c r="AU60" s="15">
        <v>-12503.999999999998</v>
      </c>
      <c r="AV60" s="15"/>
      <c r="AW60" s="15"/>
      <c r="AX60" s="15"/>
      <c r="AY60" s="15">
        <v>-1018.8799999999999</v>
      </c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>
        <v>-12504</v>
      </c>
      <c r="BO60" s="15">
        <v>-1018.8799999999999</v>
      </c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>
        <v>-74924.949333333308</v>
      </c>
    </row>
    <row r="61" spans="3:78" x14ac:dyDescent="0.25">
      <c r="C61" s="14" t="s">
        <v>298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>
        <v>-3478.5299999999997</v>
      </c>
      <c r="U61" s="15"/>
      <c r="V61" s="15"/>
      <c r="W61" s="15"/>
      <c r="X61" s="15"/>
      <c r="Y61" s="15"/>
      <c r="Z61" s="15"/>
      <c r="AA61" s="15"/>
      <c r="AB61" s="15">
        <v>-3478.5299999999997</v>
      </c>
      <c r="AC61" s="15"/>
      <c r="AD61" s="15"/>
      <c r="AE61" s="15"/>
      <c r="AF61" s="15"/>
      <c r="AG61" s="15"/>
      <c r="AH61" s="15"/>
      <c r="AI61" s="15">
        <v>-3478.5299999999997</v>
      </c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>
        <v>-10435.59</v>
      </c>
    </row>
    <row r="62" spans="3:78" x14ac:dyDescent="0.25">
      <c r="C62" s="14" t="s">
        <v>392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>
        <v>-1057.92</v>
      </c>
      <c r="AD62" s="15"/>
      <c r="AE62" s="15"/>
      <c r="AF62" s="15"/>
      <c r="AG62" s="15"/>
      <c r="AH62" s="15"/>
      <c r="AI62" s="15"/>
      <c r="AJ62" s="15"/>
      <c r="AK62" s="15"/>
      <c r="AL62" s="15">
        <v>-863.04</v>
      </c>
      <c r="AM62" s="15"/>
      <c r="AN62" s="15"/>
      <c r="AO62" s="15"/>
      <c r="AP62" s="15"/>
      <c r="AQ62" s="15"/>
      <c r="AR62" s="15"/>
      <c r="AS62" s="15"/>
      <c r="AT62" s="15"/>
      <c r="AU62" s="15">
        <v>-863.04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>
        <v>-2784</v>
      </c>
    </row>
    <row r="63" spans="3:78" x14ac:dyDescent="0.25">
      <c r="C63" s="14" t="s">
        <v>390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>
        <v>-2867.2000000000003</v>
      </c>
      <c r="X63" s="15"/>
      <c r="Y63" s="15"/>
      <c r="Z63" s="15"/>
      <c r="AA63" s="15"/>
      <c r="AB63" s="15"/>
      <c r="AC63" s="15"/>
      <c r="AD63" s="15">
        <v>-2867.2000000000003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>
        <v>-2867.2000000000003</v>
      </c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>
        <v>-8601.6</v>
      </c>
    </row>
    <row r="64" spans="3:78" x14ac:dyDescent="0.25">
      <c r="C64" s="14" t="s">
        <v>391</v>
      </c>
      <c r="D64" s="15"/>
      <c r="E64" s="15"/>
      <c r="F64" s="15"/>
      <c r="G64" s="15"/>
      <c r="H64" s="15"/>
      <c r="I64" s="15"/>
      <c r="J64" s="15"/>
      <c r="K64" s="15">
        <v>-1500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>
        <v>-1500</v>
      </c>
    </row>
    <row r="65" spans="3:78" x14ac:dyDescent="0.25">
      <c r="C65" s="6" t="s">
        <v>98</v>
      </c>
      <c r="D65" s="15"/>
      <c r="E65" s="15"/>
      <c r="F65" s="15"/>
      <c r="G65" s="15">
        <v>-1600</v>
      </c>
      <c r="H65" s="15"/>
      <c r="I65" s="15"/>
      <c r="J65" s="15"/>
      <c r="K65" s="15"/>
      <c r="L65" s="15">
        <v>-1600</v>
      </c>
      <c r="M65" s="15"/>
      <c r="N65" s="15"/>
      <c r="O65" s="15"/>
      <c r="P65" s="15">
        <v>-8700</v>
      </c>
      <c r="Q65" s="15"/>
      <c r="R65" s="15"/>
      <c r="S65" s="15"/>
      <c r="T65" s="15"/>
      <c r="U65" s="15"/>
      <c r="V65" s="15">
        <v>-4666.666666666667</v>
      </c>
      <c r="W65" s="15"/>
      <c r="X65" s="15"/>
      <c r="Y65" s="15"/>
      <c r="Z65" s="15"/>
      <c r="AA65" s="15"/>
      <c r="AB65" s="15"/>
      <c r="AC65" s="15"/>
      <c r="AD65" s="15"/>
      <c r="AE65" s="15">
        <v>-2600</v>
      </c>
      <c r="AF65" s="15"/>
      <c r="AG65" s="15"/>
      <c r="AH65" s="15"/>
      <c r="AI65" s="15"/>
      <c r="AJ65" s="15"/>
      <c r="AK65" s="15"/>
      <c r="AL65" s="15"/>
      <c r="AM65" s="15">
        <v>-4666.666666666667</v>
      </c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>
        <v>-2600</v>
      </c>
      <c r="BA65" s="15"/>
      <c r="BB65" s="15"/>
      <c r="BC65" s="15"/>
      <c r="BD65" s="15"/>
      <c r="BE65" s="15"/>
      <c r="BF65" s="15"/>
      <c r="BG65" s="15">
        <v>-4666.666666666667</v>
      </c>
      <c r="BH65" s="15"/>
      <c r="BI65" s="15"/>
      <c r="BJ65" s="15"/>
      <c r="BK65" s="15"/>
      <c r="BL65" s="15"/>
      <c r="BM65" s="15"/>
      <c r="BN65" s="15"/>
      <c r="BO65" s="15"/>
      <c r="BP65" s="15"/>
      <c r="BQ65" s="15">
        <v>-8700</v>
      </c>
      <c r="BR65" s="15"/>
      <c r="BS65" s="15"/>
      <c r="BT65" s="15"/>
      <c r="BU65" s="15"/>
      <c r="BV65" s="15"/>
      <c r="BW65" s="15"/>
      <c r="BX65" s="15"/>
      <c r="BY65" s="15"/>
      <c r="BZ65" s="15">
        <v>-39800</v>
      </c>
    </row>
    <row r="66" spans="3:78" x14ac:dyDescent="0.25">
      <c r="C66" s="14" t="s">
        <v>184</v>
      </c>
      <c r="D66" s="15"/>
      <c r="E66" s="15"/>
      <c r="F66" s="15"/>
      <c r="G66" s="15">
        <v>-1600</v>
      </c>
      <c r="H66" s="15"/>
      <c r="I66" s="15"/>
      <c r="J66" s="15"/>
      <c r="K66" s="15"/>
      <c r="L66" s="15">
        <v>-1600</v>
      </c>
      <c r="M66" s="15"/>
      <c r="N66" s="15"/>
      <c r="O66" s="15"/>
      <c r="P66" s="15">
        <v>-8700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>
        <v>-2600</v>
      </c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>
        <v>-2600</v>
      </c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>
        <v>-8700</v>
      </c>
      <c r="BR66" s="15"/>
      <c r="BS66" s="15"/>
      <c r="BT66" s="15"/>
      <c r="BU66" s="15"/>
      <c r="BV66" s="15"/>
      <c r="BW66" s="15"/>
      <c r="BX66" s="15"/>
      <c r="BY66" s="15"/>
      <c r="BZ66" s="15">
        <v>-25800</v>
      </c>
    </row>
    <row r="67" spans="3:78" x14ac:dyDescent="0.25">
      <c r="C67" s="14" t="s">
        <v>389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>
        <v>-4666.666666666667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>
        <v>-4666.666666666667</v>
      </c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>
        <v>-4666.666666666667</v>
      </c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>
        <v>-14000</v>
      </c>
    </row>
    <row r="68" spans="3:78" x14ac:dyDescent="0.25">
      <c r="C68" s="6" t="s">
        <v>93</v>
      </c>
      <c r="D68" s="15">
        <v>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>
        <v>-22334.71</v>
      </c>
      <c r="U68" s="15"/>
      <c r="V68" s="15"/>
      <c r="W68" s="15"/>
      <c r="X68" s="15"/>
      <c r="Y68" s="15"/>
      <c r="Z68" s="15"/>
      <c r="AA68" s="15"/>
      <c r="AB68" s="15">
        <v>-22334.71</v>
      </c>
      <c r="AC68" s="15"/>
      <c r="AD68" s="15"/>
      <c r="AE68" s="15"/>
      <c r="AF68" s="15"/>
      <c r="AG68" s="15">
        <v>-1166.53</v>
      </c>
      <c r="AH68" s="15"/>
      <c r="AI68" s="15"/>
      <c r="AJ68" s="15"/>
      <c r="AK68" s="15"/>
      <c r="AL68" s="15"/>
      <c r="AM68" s="15"/>
      <c r="AN68" s="15"/>
      <c r="AO68" s="15">
        <v>-6240</v>
      </c>
      <c r="AP68" s="15"/>
      <c r="AQ68" s="15"/>
      <c r="AR68" s="15"/>
      <c r="AS68" s="15"/>
      <c r="AT68" s="15"/>
      <c r="AU68" s="15"/>
      <c r="AV68" s="15"/>
      <c r="AW68" s="15"/>
      <c r="AX68" s="15"/>
      <c r="AY68" s="15">
        <v>-6240</v>
      </c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>
        <v>-58315.95</v>
      </c>
    </row>
    <row r="69" spans="3:78" x14ac:dyDescent="0.25">
      <c r="C69" s="14" t="s">
        <v>287</v>
      </c>
      <c r="D69" s="15">
        <v>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>
        <v>0</v>
      </c>
    </row>
    <row r="70" spans="3:78" x14ac:dyDescent="0.25">
      <c r="C70" s="14" t="s">
        <v>184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>
        <v>-22334.71</v>
      </c>
      <c r="U70" s="15"/>
      <c r="V70" s="15"/>
      <c r="W70" s="15"/>
      <c r="X70" s="15"/>
      <c r="Y70" s="15"/>
      <c r="Z70" s="15"/>
      <c r="AA70" s="15"/>
      <c r="AB70" s="15">
        <v>-22334.71</v>
      </c>
      <c r="AC70" s="15"/>
      <c r="AD70" s="15"/>
      <c r="AE70" s="15"/>
      <c r="AF70" s="15"/>
      <c r="AG70" s="15">
        <v>-1166.53</v>
      </c>
      <c r="AH70" s="15"/>
      <c r="AI70" s="15"/>
      <c r="AJ70" s="15"/>
      <c r="AK70" s="15"/>
      <c r="AL70" s="15"/>
      <c r="AM70" s="15"/>
      <c r="AN70" s="15"/>
      <c r="AO70" s="15">
        <v>-6240</v>
      </c>
      <c r="AP70" s="15"/>
      <c r="AQ70" s="15"/>
      <c r="AR70" s="15"/>
      <c r="AS70" s="15"/>
      <c r="AT70" s="15"/>
      <c r="AU70" s="15"/>
      <c r="AV70" s="15"/>
      <c r="AW70" s="15"/>
      <c r="AX70" s="15"/>
      <c r="AY70" s="15">
        <v>-6240</v>
      </c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>
        <v>-58315.95</v>
      </c>
    </row>
    <row r="71" spans="3:78" x14ac:dyDescent="0.25">
      <c r="C71" s="6" t="s">
        <v>103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>
        <v>-26239.29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>
        <v>-25599.299999999996</v>
      </c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>
        <v>-21119.3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>
        <v>-72957.89</v>
      </c>
    </row>
    <row r="72" spans="3:78" x14ac:dyDescent="0.25">
      <c r="C72" s="14" t="s">
        <v>184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>
        <v>-26239.29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>
        <v>-25599.299999999996</v>
      </c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>
        <v>-21119.3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>
        <v>-72957.89</v>
      </c>
    </row>
    <row r="73" spans="3:78" x14ac:dyDescent="0.25">
      <c r="C73" s="6" t="s">
        <v>102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>
        <v>-12438.058666666666</v>
      </c>
      <c r="AC73" s="15"/>
      <c r="AD73" s="15"/>
      <c r="AE73" s="15"/>
      <c r="AF73" s="15"/>
      <c r="AG73" s="15"/>
      <c r="AH73" s="15"/>
      <c r="AI73" s="15">
        <v>-22584.896000000001</v>
      </c>
      <c r="AJ73" s="15"/>
      <c r="AK73" s="15"/>
      <c r="AL73" s="15"/>
      <c r="AM73" s="15"/>
      <c r="AN73" s="15"/>
      <c r="AO73" s="15"/>
      <c r="AP73" s="15"/>
      <c r="AQ73" s="15">
        <v>-12438.058666666666</v>
      </c>
      <c r="AR73" s="15"/>
      <c r="AS73" s="15">
        <v>-10146.837333333333</v>
      </c>
      <c r="AT73" s="15"/>
      <c r="AU73" s="15"/>
      <c r="AV73" s="15"/>
      <c r="AW73" s="15"/>
      <c r="AX73" s="15"/>
      <c r="AY73" s="15"/>
      <c r="AZ73" s="15"/>
      <c r="BA73" s="15"/>
      <c r="BB73" s="15">
        <v>-20293.674666666666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>
        <v>-10146.837333333333</v>
      </c>
      <c r="BR73" s="15"/>
      <c r="BS73" s="15"/>
      <c r="BT73" s="15"/>
      <c r="BU73" s="15"/>
      <c r="BV73" s="15">
        <v>-10146.837333333333</v>
      </c>
      <c r="BW73" s="15"/>
      <c r="BX73" s="15"/>
      <c r="BY73" s="15"/>
      <c r="BZ73" s="15">
        <v>-98195.199999999983</v>
      </c>
    </row>
    <row r="74" spans="3:78" x14ac:dyDescent="0.25">
      <c r="C74" s="14" t="s">
        <v>184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>
        <v>-12438.058666666666</v>
      </c>
      <c r="AC74" s="15"/>
      <c r="AD74" s="15"/>
      <c r="AE74" s="15"/>
      <c r="AF74" s="15"/>
      <c r="AG74" s="15"/>
      <c r="AH74" s="15"/>
      <c r="AI74" s="15">
        <v>-22584.896000000001</v>
      </c>
      <c r="AJ74" s="15"/>
      <c r="AK74" s="15"/>
      <c r="AL74" s="15"/>
      <c r="AM74" s="15"/>
      <c r="AN74" s="15"/>
      <c r="AO74" s="15"/>
      <c r="AP74" s="15"/>
      <c r="AQ74" s="15">
        <v>-12438.058666666666</v>
      </c>
      <c r="AR74" s="15"/>
      <c r="AS74" s="15">
        <v>-10146.837333333333</v>
      </c>
      <c r="AT74" s="15"/>
      <c r="AU74" s="15"/>
      <c r="AV74" s="15"/>
      <c r="AW74" s="15"/>
      <c r="AX74" s="15"/>
      <c r="AY74" s="15"/>
      <c r="AZ74" s="15"/>
      <c r="BA74" s="15"/>
      <c r="BB74" s="15">
        <v>-20293.674666666666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>
        <v>-10146.837333333333</v>
      </c>
      <c r="BR74" s="15"/>
      <c r="BS74" s="15"/>
      <c r="BT74" s="15"/>
      <c r="BU74" s="15"/>
      <c r="BV74" s="15">
        <v>-10146.837333333333</v>
      </c>
      <c r="BW74" s="15"/>
      <c r="BX74" s="15"/>
      <c r="BY74" s="15"/>
      <c r="BZ74" s="15">
        <v>-98195.199999999983</v>
      </c>
    </row>
    <row r="75" spans="3:78" x14ac:dyDescent="0.25">
      <c r="C75" s="6" t="s">
        <v>105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>
        <v>-1936.64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>
        <v>-56217.599999999999</v>
      </c>
      <c r="AJ75" s="15"/>
      <c r="AK75" s="15"/>
      <c r="AL75" s="15"/>
      <c r="AM75" s="15"/>
      <c r="AN75" s="15"/>
      <c r="AO75" s="15">
        <v>-1879.68</v>
      </c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>
        <v>-55804.800000000003</v>
      </c>
      <c r="BD75" s="15"/>
      <c r="BE75" s="15"/>
      <c r="BF75" s="15"/>
      <c r="BG75" s="15"/>
      <c r="BH75" s="15">
        <v>-1879.68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>
        <v>-13622.4</v>
      </c>
      <c r="BS75" s="15"/>
      <c r="BT75" s="15"/>
      <c r="BU75" s="15"/>
      <c r="BV75" s="15"/>
      <c r="BW75" s="15"/>
      <c r="BX75" s="15"/>
      <c r="BY75" s="15"/>
      <c r="BZ75" s="15">
        <v>-131340.79999999999</v>
      </c>
    </row>
    <row r="76" spans="3:78" x14ac:dyDescent="0.25">
      <c r="C76" s="14" t="s">
        <v>184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>
        <v>-1936.64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>
        <v>-56217.599999999999</v>
      </c>
      <c r="AJ76" s="15"/>
      <c r="AK76" s="15"/>
      <c r="AL76" s="15"/>
      <c r="AM76" s="15"/>
      <c r="AN76" s="15"/>
      <c r="AO76" s="15">
        <v>-1879.68</v>
      </c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>
        <v>-55804.800000000003</v>
      </c>
      <c r="BD76" s="15"/>
      <c r="BE76" s="15"/>
      <c r="BF76" s="15"/>
      <c r="BG76" s="15"/>
      <c r="BH76" s="15">
        <v>-1879.68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>
        <v>-13622.4</v>
      </c>
      <c r="BS76" s="15"/>
      <c r="BT76" s="15"/>
      <c r="BU76" s="15"/>
      <c r="BV76" s="15"/>
      <c r="BW76" s="15"/>
      <c r="BX76" s="15"/>
      <c r="BY76" s="15"/>
      <c r="BZ76" s="15">
        <v>-131340.79999999999</v>
      </c>
    </row>
    <row r="77" spans="3:78" x14ac:dyDescent="0.25">
      <c r="C77" s="6" t="s">
        <v>104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>
        <v>-114944.08000000002</v>
      </c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>
        <v>-112325.72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>
        <v>-86405.72</v>
      </c>
      <c r="BY77" s="15"/>
      <c r="BZ77" s="15">
        <v>-313675.52000000002</v>
      </c>
    </row>
    <row r="78" spans="3:78" x14ac:dyDescent="0.25">
      <c r="C78" s="14" t="s">
        <v>184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>
        <v>-114944.08000000002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>
        <v>-112325.72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>
        <v>-86405.72</v>
      </c>
      <c r="BY78" s="15"/>
      <c r="BZ78" s="15">
        <v>-313675.52000000002</v>
      </c>
    </row>
    <row r="79" spans="3:78" x14ac:dyDescent="0.25">
      <c r="C79" s="6" t="s">
        <v>101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>
        <v>-6544</v>
      </c>
      <c r="T79" s="15"/>
      <c r="U79" s="15"/>
      <c r="V79" s="15"/>
      <c r="W79" s="15"/>
      <c r="X79" s="15">
        <v>-8025.6</v>
      </c>
      <c r="Y79" s="15"/>
      <c r="Z79" s="15"/>
      <c r="AA79" s="15"/>
      <c r="AB79" s="15">
        <v>-6544</v>
      </c>
      <c r="AC79" s="15"/>
      <c r="AD79" s="15"/>
      <c r="AE79" s="15">
        <v>-6547.2000000000007</v>
      </c>
      <c r="AF79" s="15"/>
      <c r="AG79" s="15"/>
      <c r="AH79" s="15"/>
      <c r="AI79" s="15"/>
      <c r="AJ79" s="15">
        <v>-17600</v>
      </c>
      <c r="AK79" s="15"/>
      <c r="AL79" s="15"/>
      <c r="AM79" s="15"/>
      <c r="AN79" s="15">
        <v>-6547.2000000000007</v>
      </c>
      <c r="AO79" s="15"/>
      <c r="AP79" s="15">
        <v>-8025.6</v>
      </c>
      <c r="AQ79" s="15"/>
      <c r="AR79" s="15"/>
      <c r="AS79" s="15">
        <v>-51200</v>
      </c>
      <c r="AT79" s="15"/>
      <c r="AU79" s="15"/>
      <c r="AV79" s="15">
        <v>-17600</v>
      </c>
      <c r="AW79" s="15"/>
      <c r="AX79" s="15"/>
      <c r="AY79" s="15"/>
      <c r="AZ79" s="15">
        <v>-6547.2000000000007</v>
      </c>
      <c r="BA79" s="15"/>
      <c r="BB79" s="15">
        <v>-51200</v>
      </c>
      <c r="BC79" s="15"/>
      <c r="BD79" s="15"/>
      <c r="BE79" s="15"/>
      <c r="BF79" s="15"/>
      <c r="BG79" s="15"/>
      <c r="BH79" s="15"/>
      <c r="BI79" s="15">
        <v>-6547.2000000000007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>
        <v>-192928.00000000003</v>
      </c>
    </row>
    <row r="80" spans="3:78" x14ac:dyDescent="0.25">
      <c r="C80" s="14" t="s">
        <v>184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>
        <v>-6544</v>
      </c>
      <c r="T80" s="15"/>
      <c r="U80" s="15"/>
      <c r="V80" s="15"/>
      <c r="W80" s="15"/>
      <c r="X80" s="15">
        <v>-8025.6</v>
      </c>
      <c r="Y80" s="15"/>
      <c r="Z80" s="15"/>
      <c r="AA80" s="15"/>
      <c r="AB80" s="15">
        <v>-6544</v>
      </c>
      <c r="AC80" s="15"/>
      <c r="AD80" s="15"/>
      <c r="AE80" s="15">
        <v>-6547.2000000000007</v>
      </c>
      <c r="AF80" s="15"/>
      <c r="AG80" s="15"/>
      <c r="AH80" s="15"/>
      <c r="AI80" s="15"/>
      <c r="AJ80" s="15">
        <v>-17600</v>
      </c>
      <c r="AK80" s="15"/>
      <c r="AL80" s="15"/>
      <c r="AM80" s="15"/>
      <c r="AN80" s="15">
        <v>-6547.2000000000007</v>
      </c>
      <c r="AO80" s="15"/>
      <c r="AP80" s="15">
        <v>-8025.6</v>
      </c>
      <c r="AQ80" s="15"/>
      <c r="AR80" s="15"/>
      <c r="AS80" s="15">
        <v>-51200</v>
      </c>
      <c r="AT80" s="15"/>
      <c r="AU80" s="15"/>
      <c r="AV80" s="15">
        <v>-17600</v>
      </c>
      <c r="AW80" s="15"/>
      <c r="AX80" s="15"/>
      <c r="AY80" s="15"/>
      <c r="AZ80" s="15">
        <v>-6547.2000000000007</v>
      </c>
      <c r="BA80" s="15"/>
      <c r="BB80" s="15">
        <v>-51200</v>
      </c>
      <c r="BC80" s="15"/>
      <c r="BD80" s="15"/>
      <c r="BE80" s="15"/>
      <c r="BF80" s="15"/>
      <c r="BG80" s="15"/>
      <c r="BH80" s="15"/>
      <c r="BI80" s="15">
        <v>-6547.2000000000007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>
        <v>-192928.00000000003</v>
      </c>
    </row>
    <row r="81" spans="3:78" x14ac:dyDescent="0.25">
      <c r="C81" s="6" t="s">
        <v>107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>
        <v>-17984.64</v>
      </c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>
        <v>-17984.64</v>
      </c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>
        <v>-35969.279999999999</v>
      </c>
    </row>
    <row r="82" spans="3:78" x14ac:dyDescent="0.25">
      <c r="C82" s="14" t="s">
        <v>184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>
        <v>-17984.64</v>
      </c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>
        <v>-17984.64</v>
      </c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>
        <v>-35969.279999999999</v>
      </c>
    </row>
    <row r="83" spans="3:78" x14ac:dyDescent="0.25">
      <c r="C83" s="6" t="s">
        <v>109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>
        <v>-6512.3200000000006</v>
      </c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>
        <v>-6512.3200000000006</v>
      </c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>
        <v>-13024.640000000001</v>
      </c>
    </row>
    <row r="84" spans="3:78" x14ac:dyDescent="0.25">
      <c r="C84" s="14" t="s">
        <v>184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>
        <v>-6512.3200000000006</v>
      </c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>
        <v>-6512.3200000000006</v>
      </c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>
        <v>-13024.640000000001</v>
      </c>
    </row>
    <row r="85" spans="3:78" x14ac:dyDescent="0.25">
      <c r="C85" s="6" t="s">
        <v>108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>
        <v>-13996.8</v>
      </c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>
        <v>-7996.8</v>
      </c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>
        <v>-21993.599999999999</v>
      </c>
    </row>
    <row r="86" spans="3:78" x14ac:dyDescent="0.25">
      <c r="C86" s="14" t="s">
        <v>184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>
        <v>-13996.8</v>
      </c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>
        <v>-7996.8</v>
      </c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>
        <v>-21993.599999999999</v>
      </c>
    </row>
    <row r="87" spans="3:78" x14ac:dyDescent="0.25">
      <c r="C87" s="6" t="s">
        <v>106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>
        <v>-77748.830000000031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>
        <v>-77748.83</v>
      </c>
      <c r="BU87" s="15"/>
      <c r="BV87" s="15"/>
      <c r="BW87" s="15"/>
      <c r="BX87" s="15"/>
      <c r="BY87" s="15"/>
      <c r="BZ87" s="15">
        <v>-155497.66000000003</v>
      </c>
    </row>
    <row r="88" spans="3:78" x14ac:dyDescent="0.25">
      <c r="C88" s="14" t="s">
        <v>184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>
        <v>-77748.830000000031</v>
      </c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>
        <v>-77748.83</v>
      </c>
      <c r="BU88" s="15"/>
      <c r="BV88" s="15"/>
      <c r="BW88" s="15"/>
      <c r="BX88" s="15"/>
      <c r="BY88" s="15"/>
      <c r="BZ88" s="15">
        <v>-155497.66000000003</v>
      </c>
    </row>
    <row r="89" spans="3:78" x14ac:dyDescent="0.25">
      <c r="C89" s="5" t="s">
        <v>350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>
        <v>-22965</v>
      </c>
      <c r="U89" s="15"/>
      <c r="V89" s="15"/>
      <c r="W89" s="15"/>
      <c r="X89" s="15"/>
      <c r="Y89" s="15"/>
      <c r="Z89" s="15"/>
      <c r="AA89" s="15"/>
      <c r="AB89" s="15">
        <v>-16907.5</v>
      </c>
      <c r="AC89" s="15"/>
      <c r="AD89" s="15"/>
      <c r="AE89" s="15"/>
      <c r="AF89" s="15"/>
      <c r="AG89" s="15"/>
      <c r="AH89" s="15"/>
      <c r="AI89" s="15">
        <v>-14840</v>
      </c>
      <c r="AJ89" s="15">
        <v>-13457.5</v>
      </c>
      <c r="AK89" s="15"/>
      <c r="AL89" s="15"/>
      <c r="AM89" s="15"/>
      <c r="AN89" s="15"/>
      <c r="AO89" s="15"/>
      <c r="AP89" s="15"/>
      <c r="AQ89" s="15"/>
      <c r="AR89" s="15"/>
      <c r="AS89" s="15">
        <v>-14840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>
        <v>-83010</v>
      </c>
    </row>
    <row r="90" spans="3:78" x14ac:dyDescent="0.25">
      <c r="C90" s="3" t="s">
        <v>61</v>
      </c>
      <c r="D90" s="15">
        <v>0</v>
      </c>
      <c r="E90" s="15">
        <v>146528.61000000002</v>
      </c>
      <c r="F90" s="15">
        <v>-25600</v>
      </c>
      <c r="G90" s="15">
        <v>-5440</v>
      </c>
      <c r="H90" s="15">
        <v>-2500</v>
      </c>
      <c r="I90" s="15">
        <v>-9000</v>
      </c>
      <c r="J90" s="15">
        <v>-32000</v>
      </c>
      <c r="K90" s="15">
        <v>-32634.400000000001</v>
      </c>
      <c r="L90" s="15">
        <v>-44876.35</v>
      </c>
      <c r="M90" s="15">
        <v>-26000</v>
      </c>
      <c r="N90" s="15">
        <v>-3250</v>
      </c>
      <c r="O90" s="15">
        <v>-35413.17</v>
      </c>
      <c r="P90" s="15">
        <v>-32500</v>
      </c>
      <c r="Q90" s="15">
        <v>-3900</v>
      </c>
      <c r="R90" s="15">
        <v>-3000</v>
      </c>
      <c r="S90" s="15">
        <v>848533.76</v>
      </c>
      <c r="T90" s="15">
        <v>-783508.50977777771</v>
      </c>
      <c r="U90" s="15">
        <v>-23800</v>
      </c>
      <c r="V90" s="15">
        <v>-14266.666666666668</v>
      </c>
      <c r="W90" s="15">
        <v>-10834.046933333335</v>
      </c>
      <c r="X90" s="15">
        <v>-16892.266666666666</v>
      </c>
      <c r="Y90" s="15">
        <v>-58980.28</v>
      </c>
      <c r="Z90" s="15">
        <v>-2000</v>
      </c>
      <c r="AA90" s="15">
        <v>753209.79</v>
      </c>
      <c r="AB90" s="15">
        <v>-691551.11844444426</v>
      </c>
      <c r="AC90" s="15">
        <v>-49244.403999999995</v>
      </c>
      <c r="AD90" s="15">
        <v>-2867.2000000000003</v>
      </c>
      <c r="AE90" s="15">
        <v>-9147.2000000000007</v>
      </c>
      <c r="AF90" s="15">
        <v>-7233.333333333333</v>
      </c>
      <c r="AG90" s="15">
        <v>-8993.7000000000007</v>
      </c>
      <c r="AH90" s="15">
        <v>1185999.4099999999</v>
      </c>
      <c r="AI90" s="15">
        <v>-683761.47244444431</v>
      </c>
      <c r="AJ90" s="15">
        <v>-50063.65</v>
      </c>
      <c r="AK90" s="15">
        <v>-276594.65999999997</v>
      </c>
      <c r="AL90" s="15">
        <v>-14060.608</v>
      </c>
      <c r="AM90" s="15">
        <v>-38233.513599999998</v>
      </c>
      <c r="AN90" s="15">
        <v>-13780.533333333333</v>
      </c>
      <c r="AO90" s="15">
        <v>-73675.139999999985</v>
      </c>
      <c r="AP90" s="15">
        <v>-8025.6</v>
      </c>
      <c r="AQ90" s="15">
        <v>-12438.058666666666</v>
      </c>
      <c r="AR90" s="15">
        <v>1113553.5799999998</v>
      </c>
      <c r="AS90" s="15">
        <v>-590003.73733333335</v>
      </c>
      <c r="AT90" s="15">
        <v>-5250</v>
      </c>
      <c r="AU90" s="15">
        <v>-141633.48800000001</v>
      </c>
      <c r="AV90" s="15">
        <v>-18506.05</v>
      </c>
      <c r="AW90" s="15">
        <v>64000</v>
      </c>
      <c r="AX90" s="15">
        <v>-31140.42</v>
      </c>
      <c r="AY90" s="15">
        <v>-79935.28</v>
      </c>
      <c r="AZ90" s="15">
        <v>-9147.2000000000007</v>
      </c>
      <c r="BA90" s="15">
        <v>1584686.79</v>
      </c>
      <c r="BB90" s="15">
        <v>-537823.1013333333</v>
      </c>
      <c r="BC90" s="15">
        <v>-55804.800000000003</v>
      </c>
      <c r="BD90" s="15">
        <v>-19006.150000000001</v>
      </c>
      <c r="BE90" s="15">
        <v>-276594.65999999997</v>
      </c>
      <c r="BF90" s="15">
        <v>-7966.8469333333342</v>
      </c>
      <c r="BG90" s="15">
        <v>-134266.66666666666</v>
      </c>
      <c r="BH90" s="15">
        <v>-101824.77000000003</v>
      </c>
      <c r="BI90" s="15">
        <v>-6547.2000000000007</v>
      </c>
      <c r="BJ90" s="15">
        <v>929910.25</v>
      </c>
      <c r="BK90" s="15">
        <v>-161157.01333333334</v>
      </c>
      <c r="BL90" s="15">
        <v>-214716.35</v>
      </c>
      <c r="BM90" s="15">
        <v>-2000</v>
      </c>
      <c r="BN90" s="15">
        <v>-124954.52</v>
      </c>
      <c r="BO90" s="15">
        <v>-76757.78</v>
      </c>
      <c r="BP90" s="15">
        <v>602051.81999999995</v>
      </c>
      <c r="BQ90" s="15">
        <v>-105802.07733333332</v>
      </c>
      <c r="BR90" s="15">
        <v>-13622.4</v>
      </c>
      <c r="BS90" s="15">
        <v>-280000</v>
      </c>
      <c r="BT90" s="15">
        <v>-76748.83</v>
      </c>
      <c r="BU90" s="15">
        <v>315298.84000000003</v>
      </c>
      <c r="BV90" s="15">
        <v>-51396.577333333335</v>
      </c>
      <c r="BW90" s="15">
        <v>-2000</v>
      </c>
      <c r="BX90" s="15">
        <v>-86405.72</v>
      </c>
      <c r="BY90" s="15">
        <v>-30000</v>
      </c>
      <c r="BZ90" s="15">
        <v>1196695.3298666659</v>
      </c>
    </row>
  </sheetData>
  <conditionalFormatting sqref="A8:XFD8">
    <cfRule type="cellIs" dxfId="22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CATEGORIAS</vt:lpstr>
      <vt:lpstr>BD PREVISTO</vt:lpstr>
      <vt:lpstr>MEMORIA DE CÁLCULO</vt:lpstr>
      <vt:lpstr>BD REALIZADO</vt:lpstr>
      <vt:lpstr>FLUXO REALIZADO</vt:lpstr>
      <vt:lpstr>FLUXO PREVISTO</vt:lpstr>
      <vt:lpstr>'BD PREVISTO'!Area_de_impressao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Pedro Magnago</cp:lastModifiedBy>
  <dcterms:created xsi:type="dcterms:W3CDTF">2026-03-17T16:26:22Z</dcterms:created>
  <dcterms:modified xsi:type="dcterms:W3CDTF">2026-03-23T00:54:00Z</dcterms:modified>
</cp:coreProperties>
</file>